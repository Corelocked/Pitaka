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sa\Documents\Rysa\budget\"/>
    </mc:Choice>
  </mc:AlternateContent>
  <xr:revisionPtr revIDLastSave="0" documentId="13_ncr:1_{86EFCEF8-FEF3-4BD1-988B-DF9D0A0CB53D}" xr6:coauthVersionLast="47" xr6:coauthVersionMax="47" xr10:uidLastSave="{00000000-0000-0000-0000-000000000000}"/>
  <bookViews>
    <workbookView xWindow="-110" yWindow="-110" windowWidth="25820" windowHeight="15500" activeTab="1" xr2:uid="{5F281D6C-8B1D-4309-A2CE-FCD70F0614EE}"/>
  </bookViews>
  <sheets>
    <sheet name="CHART" sheetId="8" r:id="rId1"/>
    <sheet name="Allowance" sheetId="1" r:id="rId2"/>
    <sheet name="Accounts" sheetId="4" r:id="rId3"/>
    <sheet name="IponBox" sheetId="2" r:id="rId4"/>
    <sheet name="Savings" sheetId="14" r:id="rId5"/>
    <sheet name="Taxes" sheetId="3" r:id="rId6"/>
    <sheet name="Stipend" sheetId="7" r:id="rId7"/>
    <sheet name="GCash" sheetId="9" r:id="rId8"/>
    <sheet name="Maya" sheetId="10" r:id="rId9"/>
    <sheet name="CIMB" sheetId="11" r:id="rId10"/>
  </sheets>
  <definedNames>
    <definedName name="B" localSheetId="2">Accounts!$B$190</definedName>
    <definedName name="B" localSheetId="5">Taxes!$B$181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 a="1"/>
  <c r="H6" i="1" s="1"/>
  <c r="G9" i="1" a="1"/>
  <c r="G9" i="1" s="1"/>
  <c r="O3" i="1" a="1"/>
  <c r="O3" i="1" s="1"/>
  <c r="D4" i="3" l="1" a="1"/>
  <c r="D4" i="3" s="1"/>
  <c r="D5" i="3" a="1"/>
  <c r="D5" i="3" s="1"/>
  <c r="L5" i="3" a="1"/>
  <c r="L5" i="3" s="1"/>
  <c r="L4" i="3" a="1"/>
  <c r="L4" i="3" s="1"/>
  <c r="H5" i="3" a="1"/>
  <c r="H5" i="3" s="1"/>
  <c r="H4" i="3" a="1"/>
  <c r="H4" i="3" s="1"/>
  <c r="L3" i="3" a="1"/>
  <c r="L3" i="3" s="1"/>
  <c r="H3" i="3" a="1"/>
  <c r="H3" i="3" s="1"/>
  <c r="K5" i="4" a="1"/>
  <c r="K5" i="4" s="1"/>
  <c r="D3" i="3" a="1"/>
  <c r="D3" i="3" s="1"/>
  <c r="D9" i="1" a="1"/>
  <c r="D9" i="1" s="1"/>
  <c r="D6" i="1" a="1"/>
  <c r="D6" i="1" s="1"/>
  <c r="C7" i="1" a="1"/>
  <c r="C7" i="1" s="1"/>
  <c r="L3" i="1" a="1"/>
  <c r="L3" i="1" s="1"/>
  <c r="H3" i="1"/>
  <c r="C3" i="1" a="1"/>
  <c r="C3" i="1" s="1"/>
  <c r="J3" i="14" a="1"/>
  <c r="J3" i="14" s="1"/>
  <c r="L13" i="4" l="1"/>
  <c r="J4" i="14" a="1"/>
  <c r="J4" i="14" s="1"/>
  <c r="L12" i="4" s="1"/>
  <c r="J2" i="14" a="1"/>
  <c r="J2" i="14" s="1"/>
  <c r="L14" i="4" s="1"/>
  <c r="G3" i="11" a="1"/>
  <c r="G3" i="11" s="1"/>
  <c r="D3" i="11" a="1"/>
  <c r="D3" i="11" s="1"/>
  <c r="G2" i="11" a="1"/>
  <c r="G2" i="11" s="1"/>
  <c r="D2" i="11" a="1"/>
  <c r="D2" i="11" s="1"/>
  <c r="G3" i="10" a="1"/>
  <c r="G3" i="10" s="1"/>
  <c r="G2" i="10" a="1"/>
  <c r="G2" i="10" s="1"/>
  <c r="D3" i="10" a="1"/>
  <c r="D3" i="10" s="1"/>
  <c r="D2" i="10" a="1"/>
  <c r="D2" i="10" s="1"/>
  <c r="I3" i="11" l="1"/>
  <c r="D14" i="4" s="1"/>
  <c r="I2" i="11"/>
  <c r="D13" i="4" s="1"/>
  <c r="I3" i="10"/>
  <c r="H14" i="4" s="1"/>
  <c r="G2" i="9" a="1"/>
  <c r="G2" i="9" s="1"/>
  <c r="D2" i="9" a="1"/>
  <c r="D2" i="9" s="1"/>
  <c r="G2" i="7" a="1"/>
  <c r="G2" i="7" s="1"/>
  <c r="K6" i="1" a="1"/>
  <c r="K6" i="1" s="1"/>
  <c r="L6" i="1" s="1" a="1"/>
  <c r="L6" i="1" s="1"/>
  <c r="D2" i="7" a="1"/>
  <c r="D2" i="7" s="1"/>
  <c r="G5" i="4"/>
  <c r="K7" i="1" a="1"/>
  <c r="K7" i="1" s="1"/>
  <c r="L7" i="1" s="1" a="1"/>
  <c r="L7" i="1" s="1"/>
  <c r="G7" i="1"/>
  <c r="D12" i="4" l="1"/>
  <c r="I2" i="10"/>
  <c r="H13" i="4" s="1"/>
  <c r="H12" i="4" s="1"/>
  <c r="J2" i="9"/>
  <c r="H5" i="4" l="1"/>
  <c r="J2" i="7"/>
  <c r="D5" i="4" s="1"/>
  <c r="J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<sst xmlns="http://schemas.openxmlformats.org/spreadsheetml/2006/main" count="80" uniqueCount="45">
  <si>
    <t>Balance</t>
  </si>
  <si>
    <t>Hold</t>
  </si>
  <si>
    <t>DATE</t>
  </si>
  <si>
    <t>AMOUNT</t>
  </si>
  <si>
    <t>PURCHASE</t>
  </si>
  <si>
    <t>SPECIFIC</t>
  </si>
  <si>
    <t>Ipon Box Challenge</t>
  </si>
  <si>
    <t>Goal</t>
  </si>
  <si>
    <t>Amount</t>
  </si>
  <si>
    <t>Gala</t>
  </si>
  <si>
    <t>Gifts</t>
  </si>
  <si>
    <t>Wants / Debt</t>
  </si>
  <si>
    <t>Transpo</t>
  </si>
  <si>
    <t>Food</t>
  </si>
  <si>
    <t>Activities</t>
  </si>
  <si>
    <t>Savings</t>
  </si>
  <si>
    <t>GSave</t>
  </si>
  <si>
    <t>Wallet</t>
  </si>
  <si>
    <t>UpSave</t>
  </si>
  <si>
    <t>Total Balance</t>
  </si>
  <si>
    <t>Maya</t>
  </si>
  <si>
    <t>GCash</t>
  </si>
  <si>
    <t>CIMB</t>
  </si>
  <si>
    <t>E-CASH</t>
  </si>
  <si>
    <t>IponCard</t>
  </si>
  <si>
    <t>IponBox</t>
  </si>
  <si>
    <t>Stipend</t>
  </si>
  <si>
    <t>CASH</t>
  </si>
  <si>
    <t>Allowance</t>
  </si>
  <si>
    <t>Left</t>
  </si>
  <si>
    <t>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</si>
  <si>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</si>
  <si>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</si>
  <si>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</si>
  <si>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</si>
  <si>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</si>
  <si>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</si>
  <si>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</si>
  <si>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</si>
  <si>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</si>
  <si>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</si>
  <si>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</si>
  <si>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</si>
  <si>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BUDGET 1.5</t>
  </si>
  <si>
    <t>Tax-Debt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</si>
</sst>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_-[$₱-3409]* #,##0.00_-;\-[$₱-3409]* #,##0.00_-;_-[$₱-3409]* &quot;-&quot;??_-;_-@_-"/>
    <numFmt numFmtId="165" formatCode="_-&quot;£&quot;* #,##0.00_-;\-&quot;£&quot;* #,##0.00_-;_-&quot;£&quot;* &quot;-&quot;??_-;_-@_-"/>
    <numFmt numFmtId="166" formatCode="[$-3409]mmm\-dd\-yyyy;@"/>
    <numFmt numFmtId="167" formatCode="[$-3409]m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Yu Gothic"/>
      <family val="2"/>
    </font>
    <font>
      <b/>
      <sz val="8"/>
      <color theme="1"/>
      <name val="Yu Gothic"/>
      <family val="2"/>
    </font>
    <font>
      <sz val="9"/>
      <color theme="1"/>
      <name val="Yu Gothic"/>
      <family val="2"/>
    </font>
    <font>
      <b/>
      <sz val="9"/>
      <color theme="1"/>
      <name val="Yu Gothic"/>
      <family val="2"/>
    </font>
    <font>
      <i/>
      <sz val="9"/>
      <color theme="1"/>
      <name val="Yu Gothic"/>
      <family val="2"/>
    </font>
    <font>
      <i/>
      <sz val="8"/>
      <color theme="1"/>
      <name val="Yu Gothic"/>
      <family val="2"/>
    </font>
    <font>
      <b/>
      <sz val="8"/>
      <name val="Yu Gothic"/>
      <family val="2"/>
    </font>
    <font>
      <sz val="8"/>
      <color theme="9" tint="-0.249977111117893"/>
      <name val="Yu Gothic"/>
      <family val="2"/>
    </font>
    <font>
      <sz val="8"/>
      <name val="Yu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/>
    <xf numFmtId="164" fontId="2" fillId="0" borderId="1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10" xfId="0" applyFont="1" applyBorder="1"/>
    <xf numFmtId="0" fontId="2" fillId="0" borderId="10" xfId="0" applyFont="1" applyBorder="1" applyAlignment="1">
      <alignment vertical="center"/>
    </xf>
    <xf numFmtId="44" fontId="2" fillId="0" borderId="11" xfId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1" xfId="0" applyFont="1" applyBorder="1"/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4" fillId="4" borderId="11" xfId="2" applyNumberFormat="1" applyFont="1" applyFill="1" applyBorder="1" applyAlignment="1">
      <alignment vertical="center" wrapText="1"/>
    </xf>
    <xf numFmtId="44" fontId="6" fillId="0" borderId="10" xfId="2" applyNumberFormat="1" applyFont="1" applyBorder="1" applyAlignment="1">
      <alignment horizontal="left" vertical="center" wrapText="1"/>
    </xf>
    <xf numFmtId="0" fontId="4" fillId="0" borderId="1" xfId="2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6" fillId="0" borderId="8" xfId="2" applyNumberFormat="1" applyFont="1" applyBorder="1" applyAlignment="1">
      <alignment horizontal="left" vertical="center" wrapText="1"/>
    </xf>
    <xf numFmtId="0" fontId="4" fillId="0" borderId="4" xfId="2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0" xfId="0" applyFont="1" applyFill="1"/>
    <xf numFmtId="164" fontId="2" fillId="5" borderId="4" xfId="0" applyNumberFormat="1" applyFont="1" applyFill="1" applyBorder="1"/>
    <xf numFmtId="164" fontId="2" fillId="0" borderId="9" xfId="0" applyNumberFormat="1" applyFont="1" applyBorder="1"/>
    <xf numFmtId="0" fontId="7" fillId="0" borderId="10" xfId="0" applyFont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/>
    </xf>
    <xf numFmtId="164" fontId="2" fillId="0" borderId="18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2" fillId="0" borderId="19" xfId="0" applyFont="1" applyBorder="1"/>
    <xf numFmtId="0" fontId="7" fillId="0" borderId="16" xfId="0" applyFont="1" applyBorder="1" applyAlignment="1">
      <alignment wrapText="1"/>
    </xf>
    <xf numFmtId="164" fontId="2" fillId="5" borderId="20" xfId="0" applyNumberFormat="1" applyFont="1" applyFill="1" applyBorder="1" applyAlignment="1">
      <alignment vertical="center"/>
    </xf>
    <xf numFmtId="164" fontId="2" fillId="5" borderId="4" xfId="0" applyNumberFormat="1" applyFont="1" applyFill="1" applyBorder="1" applyAlignment="1">
      <alignment vertical="center"/>
    </xf>
    <xf numFmtId="0" fontId="2" fillId="0" borderId="21" xfId="0" applyFont="1" applyBorder="1"/>
    <xf numFmtId="164" fontId="2" fillId="0" borderId="23" xfId="0" applyNumberFormat="1" applyFont="1" applyBorder="1"/>
    <xf numFmtId="0" fontId="2" fillId="0" borderId="28" xfId="0" applyFont="1" applyBorder="1" applyAlignment="1">
      <alignment vertical="center"/>
    </xf>
    <xf numFmtId="164" fontId="2" fillId="5" borderId="1" xfId="0" applyNumberFormat="1" applyFont="1" applyFill="1" applyBorder="1"/>
    <xf numFmtId="44" fontId="2" fillId="5" borderId="2" xfId="1" applyFont="1" applyFill="1" applyBorder="1" applyAlignment="1">
      <alignment vertical="center"/>
    </xf>
    <xf numFmtId="44" fontId="2" fillId="5" borderId="4" xfId="1" applyFont="1" applyFill="1" applyBorder="1" applyAlignment="1">
      <alignment vertical="center"/>
    </xf>
    <xf numFmtId="0" fontId="7" fillId="0" borderId="10" xfId="0" applyFont="1" applyBorder="1"/>
    <xf numFmtId="0" fontId="7" fillId="0" borderId="8" xfId="0" applyFont="1" applyBorder="1"/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32" xfId="0" applyFont="1" applyBorder="1"/>
    <xf numFmtId="0" fontId="2" fillId="6" borderId="10" xfId="0" applyFont="1" applyFill="1" applyBorder="1"/>
    <xf numFmtId="0" fontId="2" fillId="6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wrapText="1"/>
    </xf>
    <xf numFmtId="0" fontId="2" fillId="7" borderId="6" xfId="0" applyFont="1" applyFill="1" applyBorder="1"/>
    <xf numFmtId="0" fontId="2" fillId="5" borderId="11" xfId="0" applyFont="1" applyFill="1" applyBorder="1" applyAlignment="1">
      <alignment horizontal="center"/>
    </xf>
    <xf numFmtId="0" fontId="2" fillId="7" borderId="10" xfId="0" applyFont="1" applyFill="1" applyBorder="1"/>
    <xf numFmtId="0" fontId="2" fillId="6" borderId="8" xfId="0" applyFont="1" applyFill="1" applyBorder="1"/>
    <xf numFmtId="0" fontId="2" fillId="7" borderId="9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right"/>
    </xf>
    <xf numFmtId="0" fontId="2" fillId="6" borderId="33" xfId="0" applyFont="1" applyFill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/>
    </xf>
    <xf numFmtId="0" fontId="2" fillId="7" borderId="32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horizontal="center" wrapText="1"/>
    </xf>
    <xf numFmtId="0" fontId="2" fillId="0" borderId="44" xfId="0" applyFont="1" applyBorder="1"/>
    <xf numFmtId="0" fontId="2" fillId="7" borderId="11" xfId="0" applyFont="1" applyFill="1" applyBorder="1"/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4" fontId="2" fillId="0" borderId="0" xfId="1" applyFont="1" applyFill="1" applyBorder="1" applyAlignment="1"/>
    <xf numFmtId="44" fontId="2" fillId="0" borderId="46" xfId="1" applyFont="1" applyFill="1" applyBorder="1" applyAlignment="1"/>
    <xf numFmtId="44" fontId="3" fillId="0" borderId="0" xfId="1" applyFont="1" applyFill="1" applyBorder="1" applyAlignment="1"/>
    <xf numFmtId="164" fontId="2" fillId="0" borderId="11" xfId="0" applyNumberFormat="1" applyFont="1" applyBorder="1"/>
    <xf numFmtId="44" fontId="2" fillId="5" borderId="4" xfId="1" applyFont="1" applyFill="1" applyBorder="1"/>
    <xf numFmtId="164" fontId="2" fillId="4" borderId="11" xfId="1" applyNumberFormat="1" applyFont="1" applyFill="1" applyBorder="1" applyAlignment="1">
      <alignment vertical="center"/>
    </xf>
    <xf numFmtId="164" fontId="2" fillId="4" borderId="9" xfId="1" applyNumberFormat="1" applyFont="1" applyFill="1" applyBorder="1" applyAlignment="1">
      <alignment vertical="center"/>
    </xf>
    <xf numFmtId="164" fontId="2" fillId="4" borderId="9" xfId="2" applyNumberFormat="1" applyFont="1" applyFill="1" applyBorder="1" applyAlignment="1">
      <alignment vertical="center"/>
    </xf>
    <xf numFmtId="164" fontId="2" fillId="4" borderId="18" xfId="0" applyNumberFormat="1" applyFont="1" applyFill="1" applyBorder="1" applyAlignment="1">
      <alignment vertical="center"/>
    </xf>
    <xf numFmtId="164" fontId="2" fillId="4" borderId="9" xfId="0" applyNumberFormat="1" applyFont="1" applyFill="1" applyBorder="1"/>
    <xf numFmtId="16" fontId="2" fillId="0" borderId="0" xfId="0" applyNumberFormat="1" applyFont="1"/>
    <xf numFmtId="167" fontId="2" fillId="0" borderId="0" xfId="0" applyNumberFormat="1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4" borderId="11" xfId="0" applyFont="1" applyFill="1" applyBorder="1"/>
    <xf numFmtId="0" fontId="2" fillId="4" borderId="9" xfId="0" applyFont="1" applyFill="1" applyBorder="1"/>
    <xf numFmtId="44" fontId="2" fillId="4" borderId="9" xfId="1" applyFont="1" applyFill="1" applyBorder="1" applyAlignment="1">
      <alignment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left" vertical="center"/>
    </xf>
    <xf numFmtId="0" fontId="2" fillId="6" borderId="32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1" xfId="0" applyFont="1" applyBorder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44" fontId="2" fillId="7" borderId="25" xfId="1" applyFont="1" applyFill="1" applyBorder="1" applyAlignment="1">
      <alignment horizontal="center"/>
    </xf>
    <xf numFmtId="44" fontId="2" fillId="7" borderId="26" xfId="1" applyFont="1" applyFill="1" applyBorder="1" applyAlignment="1">
      <alignment horizontal="center"/>
    </xf>
    <xf numFmtId="44" fontId="2" fillId="7" borderId="27" xfId="1" applyFont="1" applyFill="1" applyBorder="1" applyAlignment="1">
      <alignment horizontal="center"/>
    </xf>
    <xf numFmtId="44" fontId="2" fillId="6" borderId="25" xfId="1" applyFont="1" applyFill="1" applyBorder="1" applyAlignment="1">
      <alignment horizontal="center"/>
    </xf>
    <xf numFmtId="44" fontId="2" fillId="6" borderId="26" xfId="1" applyFont="1" applyFill="1" applyBorder="1" applyAlignment="1">
      <alignment horizontal="center"/>
    </xf>
    <xf numFmtId="44" fontId="2" fillId="6" borderId="27" xfId="1" applyFont="1" applyFill="1" applyBorder="1" applyAlignment="1">
      <alignment horizontal="center"/>
    </xf>
    <xf numFmtId="44" fontId="2" fillId="4" borderId="25" xfId="1" applyFont="1" applyFill="1" applyBorder="1" applyAlignment="1">
      <alignment horizontal="center"/>
    </xf>
    <xf numFmtId="44" fontId="2" fillId="4" borderId="26" xfId="1" applyFont="1" applyFill="1" applyBorder="1" applyAlignment="1">
      <alignment horizontal="center"/>
    </xf>
    <xf numFmtId="44" fontId="2" fillId="4" borderId="27" xfId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44" fontId="2" fillId="0" borderId="4" xfId="1" applyFont="1" applyBorder="1" applyAlignment="1">
      <alignment vertical="center"/>
    </xf>
    <xf numFmtId="166" fontId="2" fillId="0" borderId="10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4" fontId="2" fillId="5" borderId="23" xfId="2" applyNumberFormat="1" applyFont="1" applyFill="1" applyBorder="1" applyAlignment="1">
      <alignment horizontal="center" vertical="center"/>
    </xf>
    <xf numFmtId="164" fontId="2" fillId="5" borderId="24" xfId="2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right" vertical="center"/>
    </xf>
    <xf numFmtId="164" fontId="2" fillId="4" borderId="9" xfId="0" applyNumberFormat="1" applyFont="1" applyFill="1" applyBorder="1" applyAlignment="1">
      <alignment horizontal="right" vertical="center"/>
    </xf>
    <xf numFmtId="164" fontId="2" fillId="4" borderId="11" xfId="1" applyNumberFormat="1" applyFont="1" applyFill="1" applyBorder="1" applyAlignment="1">
      <alignment horizontal="right" vertical="center"/>
    </xf>
    <xf numFmtId="164" fontId="2" fillId="4" borderId="9" xfId="1" applyNumberFormat="1" applyFont="1" applyFill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4" fontId="2" fillId="4" borderId="23" xfId="0" applyNumberFormat="1" applyFont="1" applyFill="1" applyBorder="1" applyAlignment="1">
      <alignment horizontal="center"/>
    </xf>
    <xf numFmtId="164" fontId="2" fillId="4" borderId="24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6" fontId="2" fillId="0" borderId="10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4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44" fontId="7" fillId="0" borderId="0" xfId="1" applyFont="1" applyFill="1" applyBorder="1" applyAlignment="1"/>
    <xf numFmtId="44" fontId="7" fillId="0" borderId="45" xfId="1" applyFont="1" applyFill="1" applyBorder="1" applyAlignment="1"/>
    <xf numFmtId="164" fontId="2" fillId="4" borderId="25" xfId="1" applyNumberFormat="1" applyFont="1" applyFill="1" applyBorder="1" applyAlignment="1">
      <alignment horizontal="center"/>
    </xf>
    <xf numFmtId="164" fontId="2" fillId="4" borderId="26" xfId="1" applyNumberFormat="1" applyFont="1" applyFill="1" applyBorder="1" applyAlignment="1">
      <alignment horizontal="center"/>
    </xf>
    <xf numFmtId="164" fontId="2" fillId="4" borderId="27" xfId="1" applyNumberFormat="1" applyFont="1" applyFill="1" applyBorder="1" applyAlignment="1">
      <alignment horizontal="center"/>
    </xf>
    <xf numFmtId="164" fontId="2" fillId="7" borderId="25" xfId="1" applyNumberFormat="1" applyFont="1" applyFill="1" applyBorder="1" applyAlignment="1">
      <alignment horizontal="center"/>
    </xf>
    <xf numFmtId="164" fontId="2" fillId="7" borderId="26" xfId="1" applyNumberFormat="1" applyFont="1" applyFill="1" applyBorder="1" applyAlignment="1">
      <alignment horizontal="center"/>
    </xf>
    <xf numFmtId="164" fontId="2" fillId="7" borderId="27" xfId="1" applyNumberFormat="1" applyFont="1" applyFill="1" applyBorder="1" applyAlignment="1">
      <alignment horizontal="center"/>
    </xf>
    <xf numFmtId="164" fontId="2" fillId="5" borderId="25" xfId="1" applyNumberFormat="1" applyFont="1" applyFill="1" applyBorder="1" applyAlignment="1">
      <alignment horizontal="center"/>
    </xf>
    <xf numFmtId="164" fontId="2" fillId="5" borderId="26" xfId="1" applyNumberFormat="1" applyFont="1" applyFill="1" applyBorder="1" applyAlignment="1">
      <alignment horizontal="center"/>
    </xf>
    <xf numFmtId="164" fontId="2" fillId="5" borderId="27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44" fontId="2" fillId="0" borderId="4" xfId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7" fillId="0" borderId="0" xfId="0" applyFont="1"/>
    <xf numFmtId="0" fontId="7" fillId="0" borderId="45" xfId="0" applyFont="1" applyBorder="1"/>
    <xf numFmtId="0" fontId="7" fillId="0" borderId="46" xfId="0" applyFont="1" applyBorder="1"/>
    <xf numFmtId="0" fontId="2" fillId="0" borderId="44" xfId="0" applyFont="1" applyBorder="1"/>
    <xf numFmtId="0" fontId="7" fillId="0" borderId="0" xfId="0" applyFont="1" applyAlignment="1">
      <alignment vertical="center"/>
    </xf>
    <xf numFmtId="0" fontId="7" fillId="0" borderId="45" xfId="0" applyFont="1" applyBorder="1" applyAlignment="1">
      <alignment vertical="center"/>
    </xf>
    <xf numFmtId="44" fontId="2" fillId="7" borderId="25" xfId="1" applyFont="1" applyFill="1" applyBorder="1" applyAlignment="1">
      <alignment horizontal="center" vertical="center"/>
    </xf>
    <xf numFmtId="44" fontId="2" fillId="7" borderId="26" xfId="1" applyFont="1" applyFill="1" applyBorder="1" applyAlignment="1">
      <alignment horizontal="center" vertical="center"/>
    </xf>
    <xf numFmtId="44" fontId="2" fillId="7" borderId="27" xfId="1" applyFont="1" applyFill="1" applyBorder="1" applyAlignment="1">
      <alignment horizontal="center" vertical="center"/>
    </xf>
    <xf numFmtId="44" fontId="2" fillId="6" borderId="25" xfId="1" applyFont="1" applyFill="1" applyBorder="1" applyAlignment="1">
      <alignment horizontal="center" vertical="center"/>
    </xf>
    <xf numFmtId="44" fontId="2" fillId="6" borderId="26" xfId="1" applyFont="1" applyFill="1" applyBorder="1" applyAlignment="1">
      <alignment horizontal="center" vertical="center"/>
    </xf>
    <xf numFmtId="44" fontId="2" fillId="4" borderId="25" xfId="1" applyFont="1" applyFill="1" applyBorder="1" applyAlignment="1">
      <alignment horizontal="center" vertical="center"/>
    </xf>
    <xf numFmtId="44" fontId="2" fillId="4" borderId="26" xfId="1" applyFont="1" applyFill="1" applyBorder="1" applyAlignment="1">
      <alignment horizontal="center" vertical="center"/>
    </xf>
    <xf numFmtId="44" fontId="2" fillId="4" borderId="27" xfId="1" applyFont="1" applyFill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4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3">
    <cellStyle name="Currency" xfId="1" builtinId="4"/>
    <cellStyle name="Currency 2" xfId="2" xr:uid="{94E6CBE5-051B-411E-8029-C78A1D121E69}"/>
    <cellStyle name="Normal" xfId="0" builtinId="0"/>
  </cellStyles>
  <dxfs count="72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7CE"/>
      <color rgb="FFF7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748C-EAF9-4E22-A6EC-A740395EB3D2}">
  <dimension ref="B1:J17"/>
  <sheetViews>
    <sheetView zoomScale="160" zoomScaleNormal="160" workbookViewId="0">
      <selection activeCell="I3" sqref="I3:J8"/>
    </sheetView>
  </sheetViews>
  <sheetFormatPr defaultRowHeight="13" x14ac:dyDescent="0.4"/>
  <cols>
    <col min="1" max="3" width="8.7265625" style="1"/>
    <col min="4" max="4" width="10.26953125" style="1" customWidth="1"/>
    <col min="5" max="5" width="8.7265625" style="1" customWidth="1"/>
    <col min="6" max="8" width="8.7265625" style="1"/>
    <col min="9" max="9" width="9.1796875" style="1" bestFit="1" customWidth="1"/>
    <col min="10" max="16384" width="8.7265625" style="1"/>
  </cols>
  <sheetData>
    <row r="1" spans="2:10" ht="10" customHeight="1" thickBot="1" x14ac:dyDescent="0.45"/>
    <row r="2" spans="2:10" ht="13.5" thickBot="1" x14ac:dyDescent="0.45">
      <c r="B2" s="88" t="s">
        <v>28</v>
      </c>
      <c r="C2" s="89"/>
      <c r="D2" s="90"/>
      <c r="F2" s="93" t="s">
        <v>26</v>
      </c>
      <c r="G2" s="94"/>
      <c r="I2" s="95" t="s">
        <v>20</v>
      </c>
      <c r="J2" s="96"/>
    </row>
    <row r="3" spans="2:10" ht="13" customHeight="1" x14ac:dyDescent="0.4">
      <c r="B3" s="46"/>
      <c r="C3" s="106"/>
      <c r="D3" s="51"/>
      <c r="F3" s="48"/>
      <c r="G3" s="8"/>
      <c r="I3" s="112"/>
      <c r="J3" s="101"/>
    </row>
    <row r="4" spans="2:10" ht="15.5" customHeight="1" x14ac:dyDescent="0.4">
      <c r="B4" s="43"/>
      <c r="C4" s="107"/>
      <c r="D4" s="51"/>
      <c r="F4" s="43"/>
      <c r="G4" s="61"/>
      <c r="I4" s="110"/>
      <c r="J4" s="102"/>
    </row>
    <row r="5" spans="2:10" ht="15" customHeight="1" thickBot="1" x14ac:dyDescent="0.45">
      <c r="B5" s="43"/>
      <c r="C5" s="107"/>
      <c r="D5" s="51"/>
      <c r="F5" s="49"/>
      <c r="G5" s="60"/>
      <c r="I5" s="113"/>
      <c r="J5" s="102"/>
    </row>
    <row r="6" spans="2:10" ht="15" customHeight="1" thickBot="1" x14ac:dyDescent="0.45">
      <c r="B6" s="86"/>
      <c r="C6" s="108"/>
      <c r="D6" s="51"/>
      <c r="I6" s="110"/>
      <c r="J6" s="102"/>
    </row>
    <row r="7" spans="2:10" ht="15.5" customHeight="1" thickBot="1" x14ac:dyDescent="0.45">
      <c r="B7" s="87"/>
      <c r="C7" s="45"/>
      <c r="D7" s="52"/>
      <c r="F7" s="84" t="s">
        <v>21</v>
      </c>
      <c r="G7" s="85"/>
      <c r="I7" s="110"/>
      <c r="J7" s="109"/>
    </row>
    <row r="8" spans="2:10" ht="15" customHeight="1" thickBot="1" x14ac:dyDescent="0.45">
      <c r="B8" s="43"/>
      <c r="C8" s="47"/>
      <c r="D8" s="52"/>
      <c r="F8" s="56"/>
      <c r="G8" s="55"/>
      <c r="I8" s="111"/>
      <c r="J8" s="54"/>
    </row>
    <row r="9" spans="2:10" ht="15" customHeight="1" thickBot="1" x14ac:dyDescent="0.45">
      <c r="B9" s="86"/>
      <c r="C9" s="45"/>
      <c r="D9" s="52"/>
      <c r="F9" s="58"/>
      <c r="G9" s="41"/>
      <c r="I9" s="40"/>
      <c r="J9" s="53"/>
    </row>
    <row r="10" spans="2:10" ht="15" customHeight="1" thickBot="1" x14ac:dyDescent="0.45">
      <c r="B10" s="87"/>
      <c r="C10" s="59"/>
      <c r="D10" s="114"/>
      <c r="F10" s="49"/>
      <c r="G10" s="57"/>
      <c r="I10" s="91" t="s">
        <v>22</v>
      </c>
      <c r="J10" s="92"/>
    </row>
    <row r="11" spans="2:10" ht="13" customHeight="1" thickBot="1" x14ac:dyDescent="0.45">
      <c r="B11" s="4"/>
      <c r="C11" s="97"/>
      <c r="D11" s="114"/>
      <c r="I11" s="99"/>
      <c r="J11" s="101"/>
    </row>
    <row r="12" spans="2:10" ht="15.5" customHeight="1" thickBot="1" x14ac:dyDescent="0.45">
      <c r="B12" s="4"/>
      <c r="C12" s="98"/>
      <c r="D12" s="114"/>
      <c r="F12" s="88" t="s">
        <v>15</v>
      </c>
      <c r="G12" s="90"/>
      <c r="I12" s="100"/>
      <c r="J12" s="102"/>
    </row>
    <row r="13" spans="2:10" ht="15" customHeight="1" x14ac:dyDescent="0.4">
      <c r="B13" s="4"/>
      <c r="C13" s="98"/>
      <c r="D13" s="114"/>
      <c r="F13" s="42"/>
      <c r="G13" s="104"/>
      <c r="I13" s="100"/>
      <c r="J13" s="102"/>
    </row>
    <row r="14" spans="2:10" ht="15.5" customHeight="1" x14ac:dyDescent="0.4">
      <c r="B14" s="48"/>
      <c r="C14" s="44"/>
      <c r="D14" s="114"/>
      <c r="F14" s="4"/>
      <c r="G14" s="98"/>
      <c r="I14" s="100"/>
      <c r="J14" s="102"/>
    </row>
    <row r="15" spans="2:10" ht="15" customHeight="1" thickBot="1" x14ac:dyDescent="0.45">
      <c r="B15" s="48"/>
      <c r="C15" s="44"/>
      <c r="D15" s="114"/>
      <c r="F15" s="3"/>
      <c r="G15" s="105"/>
      <c r="I15" s="7"/>
      <c r="J15" s="103"/>
    </row>
    <row r="16" spans="2:10" ht="15.5" customHeight="1" thickBot="1" x14ac:dyDescent="0.45">
      <c r="B16" s="49"/>
      <c r="C16" s="50"/>
      <c r="D16" s="115"/>
    </row>
    <row r="17" spans="7:7" x14ac:dyDescent="0.4">
      <c r="G17" s="40"/>
    </row>
  </sheetData>
  <mergeCells count="18">
    <mergeCell ref="C11:C13"/>
    <mergeCell ref="B6:B7"/>
    <mergeCell ref="I11:I12"/>
    <mergeCell ref="I13:I14"/>
    <mergeCell ref="J11:J15"/>
    <mergeCell ref="F12:G12"/>
    <mergeCell ref="G13:G15"/>
    <mergeCell ref="C3:C6"/>
    <mergeCell ref="J3:J7"/>
    <mergeCell ref="I6:I8"/>
    <mergeCell ref="I3:I5"/>
    <mergeCell ref="D10:D16"/>
    <mergeCell ref="F7:G7"/>
    <mergeCell ref="B9:B10"/>
    <mergeCell ref="B2:D2"/>
    <mergeCell ref="I10:J10"/>
    <mergeCell ref="F2:G2"/>
    <mergeCell ref="I2:J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CB3B-C204-4BA0-A9F1-E99738DA7CB7}">
  <dimension ref="A1:S260"/>
  <sheetViews>
    <sheetView tabSelected="1" zoomScale="175" zoomScaleNormal="175" workbookViewId="0">
      <pane xSplit="12" ySplit="10" topLeftCell="M11" activePane="bottomRight" state="frozen"/>
      <selection pane="topRight" activeCell="M1" sqref="M1"/>
      <selection pane="bottomLeft" activeCell="A11" sqref="A11"/>
      <selection pane="bottomRight" activeCell="N11" sqref="N11"/>
    </sheetView>
  </sheetViews>
  <sheetFormatPr defaultRowHeight="13" x14ac:dyDescent="0.4"/>
  <cols>
    <col min="1" max="1" width="8.7265625" style="79"/>
    <col min="2" max="3" width="8.7265625" style="1" customWidth="1"/>
    <col min="4" max="4" width="8.7265625" style="1"/>
    <col min="5" max="5" width="1.81640625" style="1" customWidth="1"/>
    <col min="6" max="8" width="8.7265625" style="1"/>
    <col min="9" max="9" width="1.81640625" style="1" customWidth="1"/>
    <col min="10" max="12" width="8.7265625" style="1"/>
    <col min="13" max="13" width="1.81640625" style="1" customWidth="1"/>
    <col min="14" max="16384" width="8.7265625" style="1"/>
  </cols>
  <sheetData>
    <row r="1" spans="2:19" ht="10" customHeight="1" thickBot="1" x14ac:dyDescent="0.45"/>
    <row r="2" spans="2:19" x14ac:dyDescent="0.4">
      <c r="B2" s="116"/>
      <c r="C2" s="147"/>
      <c r="D2" s="117"/>
      <c r="F2" s="116"/>
      <c r="G2" s="147"/>
      <c r="H2" s="117"/>
      <c r="J2" s="116"/>
      <c r="K2" s="147"/>
      <c r="L2" s="117"/>
      <c r="N2" s="116"/>
      <c r="O2" s="147"/>
      <c r="P2" s="117"/>
    </row>
    <row r="3" spans="2:19" ht="15.5" customHeight="1" thickBot="1" x14ac:dyDescent="0.45">
      <c r="B3" s="3" t="s">
        <v>0</v>
      </c>
      <c r="C3" s="148" cm="1">
        <f t="array" ref="C3">SUMPRODUCT(Allowance!$D11:$F260*(((Allowance!$G11:$I260="Load")*(Allowance!$J11:$L260="Piggy"))+((Allowance!$G11:$I260="Piggy")*(Allowance!$J11:$L260="Load")))) - SUMPRODUCT(Allowance!$D11:$F260*((Allowance!$G11:$I260="Piggy")*(Allowance!$J11:$L260&lt;&gt;"Load"))) + S12</f>
        <v>0</v>
      </c>
      <c r="D3" s="149"/>
      <c r="F3" s="3" t="s">
        <v>0</v>
      </c>
      <c r="G3" s="31"/>
      <c r="H3" s="83">
        <f>SUMIFS(Allowance!$D11:$F260, Allowance!$G11:$I260, "Emergency", Allowance!$J11:$L260, "Load")-SUMIFS(Allowance!$D11:$F260, Allowance!$G11:$I260, "Emergency", Allowance!$J11:$L260, "&lt;&gt;Load") + S13</f>
        <v>0</v>
      </c>
      <c r="J3" s="7" t="s">
        <v>8</v>
      </c>
      <c r="K3" s="22"/>
      <c r="L3" s="75" cm="1">
        <f t="array" ref="L3">SUMPRODUCT(Allowance!$D11:$F260*((Allowance!$G11:$I260="Data")*(Allowance!$J11:$L260="Load"))) - SUMPRODUCT(Allowance!$D11:$F260*((Allowance!$G11:$I260="Data")*(Allowance!$J11:$L260&lt;&gt;"Load"))) + S14</f>
        <v>0</v>
      </c>
      <c r="N3" s="7" t="s">
        <v>8</v>
      </c>
      <c r="O3" s="143" cm="1">
        <f t="array" ref="O3">SUMPRODUCT(Allowance!$D11:$F260*((Allowance!$G11:$I260="pookie")*(Allowance!$J11:$L260=""))) - SUMPRODUCT(Allowance!$D11:$F260*((Allowance!$G11:$I260="pookie")*(Allowance!$J11:$L260&lt;&gt;""))) + S20</f>
        <v>0</v>
      </c>
      <c r="P3" s="144"/>
    </row>
    <row r="4" spans="2:19" ht="10" customHeight="1" thickBot="1" x14ac:dyDescent="0.45"/>
    <row r="5" spans="2:19" x14ac:dyDescent="0.4">
      <c r="B5" s="116"/>
      <c r="C5" s="147"/>
      <c r="D5" s="117"/>
      <c r="F5" s="116"/>
      <c r="G5" s="147"/>
      <c r="H5" s="117"/>
      <c r="J5" s="116"/>
      <c r="K5" s="147"/>
      <c r="L5" s="117"/>
    </row>
    <row r="6" spans="2:19" ht="15" customHeight="1" x14ac:dyDescent="0.4">
      <c r="B6" s="4" t="s">
        <v>0</v>
      </c>
      <c r="C6" s="2"/>
      <c r="D6" s="150" cm="1">
        <f t="array" ref="D6">SUMPRODUCT(Allowance!$D11:$F260*((Allowance!$G11:$I260="Beep")*(Allowance!$J11:$L260="Load"))) - SUMPRODUCT(Allowance!$D11:$F260*((Allowance!$G11:$I260="Beep")*((Allowance!$J11:$L260&lt;&gt;"Load")*(Allowance!$J11:$L260&lt;&gt;"Hold")))) + S16</f>
        <v>0</v>
      </c>
      <c r="F6" s="4" t="s">
        <v>0</v>
      </c>
      <c r="G6" s="2"/>
      <c r="H6" s="150" cm="1">
        <f t="array" ref="H6">(SUMPRODUCT(Allowance!$D11:$F260*((Allowance!$G11:$I260="Canva")*(Allowance!$J11:$L260="Hold"))) - SUMPRODUCT(Allowance!$D11:$F260*((Allowance!$G11:$I260="Canva")*(Allowance!$J11:$L260="Clear"))) + S17) - (PRODUCT(COUNTIFS(Allowance!$G11:$I260, "Canva", Allowance!$J11:$L260, "Clear"), 2940))</f>
        <v>0</v>
      </c>
      <c r="J6" s="38" t="s">
        <v>44</v>
      </c>
      <c r="K6" s="25" cm="1">
        <f t="array" ref="K6">SUMPRODUCT(Allowance!$N11:$N260*(((Allowance!$G11:$I260="Tax")+(Allowance!$G11:$I260="Debt"))*(Allowance!$N11:$N260&lt;&gt;"")))</f>
        <v>0</v>
      </c>
      <c r="L6" s="73" cm="1">
        <f t="array" ref="L6">K6 - SUMPRODUCT(Allowance!$D11:$F260*(((Allowance!$G11:$I260="Tax")+(Allowance!$G11:$I260="Debt"))*(Allowance!$N11:$N260&lt;&gt;""))) + S18</f>
        <v>0</v>
      </c>
    </row>
    <row r="7" spans="2:19" ht="15.5" customHeight="1" thickBot="1" x14ac:dyDescent="0.45">
      <c r="B7" s="3" t="s">
        <v>1</v>
      </c>
      <c r="C7" s="72" cm="1">
        <f t="array" ref="C7">SUMPRODUCT(Allowance!$D11:$F260*((Allowance!$G11:$I260="Beep")*(Allowance!$J11:$L260="Hold"))) + S15</f>
        <v>0</v>
      </c>
      <c r="D7" s="151"/>
      <c r="F7" s="3" t="s">
        <v>29</v>
      </c>
      <c r="G7" s="72">
        <f>G6-H6</f>
        <v>0</v>
      </c>
      <c r="H7" s="151"/>
      <c r="J7" s="39" t="s">
        <v>24</v>
      </c>
      <c r="K7" s="72" cm="1">
        <f t="array" ref="K7">SUMPRODUCT(Allowance!$N11:$N260*((Allowance!$G11:$I260="IponCard")*(Allowance!$N11:$N260&lt;&gt;"")))</f>
        <v>0</v>
      </c>
      <c r="L7" s="74" cm="1">
        <f t="array" ref="L7">K7 - SUMPRODUCT(Allowance!$D11:$F260*((Allowance!$G11:$I260="IponCard")*(Allowance!$N11:$N260&lt;&gt;""))) + S19</f>
        <v>0</v>
      </c>
    </row>
    <row r="8" spans="2:19" ht="10" customHeight="1" thickBot="1" x14ac:dyDescent="0.45"/>
    <row r="9" spans="2:19" ht="15.5" customHeight="1" thickBot="1" x14ac:dyDescent="0.45">
      <c r="D9" s="122" cm="1">
        <f t="array" ref="D9">SUMPRODUCT(Allowance!$D11:$F260*(((Allowance!$G11:$I260="Load")*(Allowance!$J11:$L260&lt;&gt;"Piggy"))+((Allowance!$G11:$I260="Piggy")*(Allowance!$J11:$L260&lt;&gt;"Load"))+((Allowance!$G11:$I260="Tax")*(Allowance!$J11:$L260&lt;&gt;"Return"))+(((Allowance!$G11:$I260="Gala")+(Allowance!$G11:$I260="Gift")+(Allowance!$G11:$I260="Want"))*((Allowance!$J11:$L260="Load1")+(Allowance!$J11:$L260="Load2")+(Allowance!$J11:$L260="Load3"))))) + S11</f>
        <v>0</v>
      </c>
      <c r="E9" s="123"/>
      <c r="F9" s="124"/>
      <c r="G9" s="125" cm="1">
        <f t="array" ref="G9">SUMPRODUCT(Allowance!$D11:$F260*((((Allowance!$G11:$I260="Piggy")+(Allowance!$G11:$I260="Data")+(Allowance!$G11:$I260="Emergency")+(Allowance!$G11:$I260="Beep"))*(Allowance!$J11:$L260="Load"))+((Allowance!$G11:$I260="IponCard")+(Allowance!$G11:$I260="Canva")+(Allowance!$G11:$I260="IponBox")+(Allowance!$G11:$I260="Item")+(Allowance!$G11:$I260="Food")+(Allowance!$G11:$I260="Grocery")+(Allowance!$G11:$I260="Transpo")+(Allowance!$G11:$I260="Savings")+(Allowance!$G11:$I260=""))+(((Allowance!$G11:$I260="Gala")+(Allowance!$G11:$I260="Gift")+(Allowance!$G11:$I260="Want"))*((Allowance!$J11:$L260="Slot1")+(Allowance!$J11:$L260="Slot2")+(Allowance!$J11:$L260="Slot3")))+((Allowance!$G11:$I260="Debt")*(Allowance!$J11:$L260&lt;&gt;"Paid"))+((Allowance!$G11:$I260="Beep")*(Allowance!$J11:$L260="Hold")) +((Allowance!$G11:$I260="pookie")*(Allowance!$J11:$L260="")))) + SUMPRODUCT(Stipend!$D4:$F253*((Stipend!$G4:$I253="Load")*(Stipend!$J4:$L253=""))) + SUMPRODUCT(GCash!$D4:$F253*((GCash!$G4:$I253="Load")*(GCash!$J4:$L253=""))) + SUMPRODUCT(Maya!$D5:$F254*(((Maya!$G5:$G254="Wallet")+(Maya!$G5:$G254="Savings"))*(Maya!$H5:$H254="Load")*(Maya!$I5:$K254="")+((Maya!$H5:$H254="Hold")*(Maya!$I5:$K254="Return")))) + SUMPRODUCT(CIMB!$D5:$F254*(((CIMB!$G5:$G254="UpSave")+(CIMB!$G5:$G254="GSave"))*(CIMB!$H5:$H254="Load")*(CIMB!$I5:$K254=""))) + SUMPRODUCT(Savings!$D6:$F255*(((Savings!$G4:$I253="Savings")+(Savings!$G4:$I253="Personal")+(Savings!$G4:$I253="pookie"))*(Savings!$J6:$L255="Save")))</f>
        <v>0</v>
      </c>
      <c r="H9" s="126"/>
      <c r="I9" s="127"/>
      <c r="J9" s="128">
        <f>D9-G9</f>
        <v>0</v>
      </c>
      <c r="K9" s="129"/>
      <c r="L9" s="130"/>
    </row>
    <row r="10" spans="2:19" x14ac:dyDescent="0.4">
      <c r="B10" s="145" t="s">
        <v>2</v>
      </c>
      <c r="C10" s="146"/>
      <c r="D10" s="146" t="s">
        <v>3</v>
      </c>
      <c r="E10" s="146"/>
      <c r="F10" s="146"/>
      <c r="G10" s="146" t="s">
        <v>4</v>
      </c>
      <c r="H10" s="146"/>
      <c r="I10" s="146"/>
      <c r="J10" s="147" t="s">
        <v>5</v>
      </c>
      <c r="K10" s="147"/>
      <c r="L10" s="117"/>
      <c r="R10" s="116" t="s">
        <v>43</v>
      </c>
      <c r="S10" s="117"/>
    </row>
    <row r="11" spans="2:19" x14ac:dyDescent="0.4">
      <c r="B11" s="139"/>
      <c r="C11" s="140"/>
      <c r="D11" s="137"/>
      <c r="E11" s="137"/>
      <c r="F11" s="137"/>
      <c r="G11" s="132"/>
      <c r="H11" s="132"/>
      <c r="I11" s="132"/>
      <c r="J11" s="118"/>
      <c r="K11" s="118"/>
      <c r="L11" s="119"/>
      <c r="R11" s="4"/>
      <c r="S11" s="71"/>
    </row>
    <row r="12" spans="2:19" x14ac:dyDescent="0.4">
      <c r="B12" s="139"/>
      <c r="C12" s="140"/>
      <c r="D12" s="137"/>
      <c r="E12" s="137"/>
      <c r="F12" s="137"/>
      <c r="G12" s="132"/>
      <c r="H12" s="132"/>
      <c r="I12" s="132"/>
      <c r="J12" s="118"/>
      <c r="K12" s="118"/>
      <c r="L12" s="119"/>
      <c r="R12" s="4"/>
      <c r="S12" s="71"/>
    </row>
    <row r="13" spans="2:19" x14ac:dyDescent="0.4">
      <c r="B13" s="139"/>
      <c r="C13" s="140"/>
      <c r="D13" s="137"/>
      <c r="E13" s="137"/>
      <c r="F13" s="137"/>
      <c r="G13" s="132"/>
      <c r="H13" s="132"/>
      <c r="I13" s="132"/>
      <c r="J13" s="118"/>
      <c r="K13" s="118"/>
      <c r="L13" s="119"/>
      <c r="R13" s="4"/>
      <c r="S13" s="71"/>
    </row>
    <row r="14" spans="2:19" x14ac:dyDescent="0.4">
      <c r="B14" s="139"/>
      <c r="C14" s="140"/>
      <c r="D14" s="137"/>
      <c r="E14" s="137"/>
      <c r="F14" s="137"/>
      <c r="G14" s="132"/>
      <c r="H14" s="132"/>
      <c r="I14" s="132"/>
      <c r="J14" s="118"/>
      <c r="K14" s="118"/>
      <c r="L14" s="119"/>
      <c r="R14" s="4"/>
      <c r="S14" s="71"/>
    </row>
    <row r="15" spans="2:19" x14ac:dyDescent="0.4">
      <c r="B15" s="139"/>
      <c r="C15" s="140"/>
      <c r="D15" s="137"/>
      <c r="E15" s="137"/>
      <c r="F15" s="137"/>
      <c r="G15" s="132"/>
      <c r="H15" s="132"/>
      <c r="I15" s="132"/>
      <c r="J15" s="118"/>
      <c r="K15" s="118"/>
      <c r="L15" s="119"/>
      <c r="R15" s="4"/>
      <c r="S15" s="71"/>
    </row>
    <row r="16" spans="2:19" x14ac:dyDescent="0.4">
      <c r="B16" s="139"/>
      <c r="C16" s="140"/>
      <c r="D16" s="137"/>
      <c r="E16" s="137"/>
      <c r="F16" s="137"/>
      <c r="G16" s="132"/>
      <c r="H16" s="132"/>
      <c r="I16" s="132"/>
      <c r="J16" s="118"/>
      <c r="K16" s="118"/>
      <c r="L16" s="119"/>
      <c r="R16" s="4"/>
      <c r="S16" s="71"/>
    </row>
    <row r="17" spans="2:19" x14ac:dyDescent="0.4">
      <c r="B17" s="139"/>
      <c r="C17" s="140"/>
      <c r="D17" s="137"/>
      <c r="E17" s="137"/>
      <c r="F17" s="137"/>
      <c r="G17" s="132"/>
      <c r="H17" s="132"/>
      <c r="I17" s="132"/>
      <c r="J17" s="118"/>
      <c r="K17" s="118"/>
      <c r="L17" s="119"/>
      <c r="R17" s="4"/>
      <c r="S17" s="71"/>
    </row>
    <row r="18" spans="2:19" x14ac:dyDescent="0.4">
      <c r="B18" s="139"/>
      <c r="C18" s="140"/>
      <c r="D18" s="137"/>
      <c r="E18" s="137"/>
      <c r="F18" s="137"/>
      <c r="G18" s="132"/>
      <c r="H18" s="132"/>
      <c r="I18" s="132"/>
      <c r="J18" s="118"/>
      <c r="K18" s="118"/>
      <c r="L18" s="119"/>
      <c r="R18" s="4"/>
      <c r="S18" s="71"/>
    </row>
    <row r="19" spans="2:19" x14ac:dyDescent="0.4">
      <c r="B19" s="139"/>
      <c r="C19" s="140"/>
      <c r="D19" s="137"/>
      <c r="E19" s="137"/>
      <c r="F19" s="137"/>
      <c r="G19" s="132"/>
      <c r="H19" s="132"/>
      <c r="I19" s="132"/>
      <c r="J19" s="118"/>
      <c r="K19" s="118"/>
      <c r="L19" s="119"/>
      <c r="R19" s="4"/>
      <c r="S19" s="71"/>
    </row>
    <row r="20" spans="2:19" x14ac:dyDescent="0.4">
      <c r="B20" s="139"/>
      <c r="C20" s="140"/>
      <c r="D20" s="137"/>
      <c r="E20" s="137"/>
      <c r="F20" s="137"/>
      <c r="G20" s="134"/>
      <c r="H20" s="135"/>
      <c r="I20" s="136"/>
      <c r="J20" s="118"/>
      <c r="K20" s="118"/>
      <c r="L20" s="119"/>
      <c r="R20" s="4"/>
      <c r="S20" s="71"/>
    </row>
    <row r="21" spans="2:19" x14ac:dyDescent="0.4">
      <c r="B21" s="139"/>
      <c r="C21" s="140"/>
      <c r="D21" s="137"/>
      <c r="E21" s="137"/>
      <c r="F21" s="137"/>
      <c r="G21" s="132"/>
      <c r="H21" s="132"/>
      <c r="I21" s="132"/>
      <c r="J21" s="118"/>
      <c r="K21" s="118"/>
      <c r="L21" s="119"/>
      <c r="R21" s="4"/>
      <c r="S21" s="71"/>
    </row>
    <row r="22" spans="2:19" x14ac:dyDescent="0.4">
      <c r="B22" s="139"/>
      <c r="C22" s="140"/>
      <c r="D22" s="137"/>
      <c r="E22" s="137"/>
      <c r="F22" s="137"/>
      <c r="G22" s="132"/>
      <c r="H22" s="132"/>
      <c r="I22" s="132"/>
      <c r="J22" s="118"/>
      <c r="K22" s="118"/>
      <c r="L22" s="119"/>
      <c r="R22" s="4"/>
      <c r="S22" s="71"/>
    </row>
    <row r="23" spans="2:19" x14ac:dyDescent="0.4">
      <c r="B23" s="139"/>
      <c r="C23" s="140"/>
      <c r="D23" s="137"/>
      <c r="E23" s="137"/>
      <c r="F23" s="137"/>
      <c r="G23" s="132"/>
      <c r="H23" s="132"/>
      <c r="I23" s="132"/>
      <c r="J23" s="118"/>
      <c r="K23" s="118"/>
      <c r="L23" s="119"/>
      <c r="R23" s="4"/>
      <c r="S23" s="71"/>
    </row>
    <row r="24" spans="2:19" x14ac:dyDescent="0.4">
      <c r="B24" s="139"/>
      <c r="C24" s="140"/>
      <c r="D24" s="137"/>
      <c r="E24" s="137"/>
      <c r="F24" s="137"/>
      <c r="G24" s="132"/>
      <c r="H24" s="132"/>
      <c r="I24" s="132"/>
      <c r="J24" s="118"/>
      <c r="K24" s="118"/>
      <c r="L24" s="119"/>
      <c r="R24" s="4"/>
      <c r="S24" s="71"/>
    </row>
    <row r="25" spans="2:19" ht="26" customHeight="1" x14ac:dyDescent="0.4">
      <c r="B25" s="139"/>
      <c r="C25" s="140"/>
      <c r="D25" s="137"/>
      <c r="E25" s="137"/>
      <c r="F25" s="137"/>
      <c r="G25" s="132"/>
      <c r="H25" s="132"/>
      <c r="I25" s="132"/>
      <c r="J25" s="131"/>
      <c r="K25" s="118"/>
      <c r="L25" s="119"/>
      <c r="R25" s="4"/>
      <c r="S25" s="71"/>
    </row>
    <row r="26" spans="2:19" x14ac:dyDescent="0.4">
      <c r="B26" s="139"/>
      <c r="C26" s="140"/>
      <c r="D26" s="137"/>
      <c r="E26" s="137"/>
      <c r="F26" s="137"/>
      <c r="G26" s="132"/>
      <c r="H26" s="132"/>
      <c r="I26" s="132"/>
      <c r="J26" s="118"/>
      <c r="K26" s="118"/>
      <c r="L26" s="119"/>
      <c r="R26" s="4"/>
      <c r="S26" s="71"/>
    </row>
    <row r="27" spans="2:19" x14ac:dyDescent="0.4">
      <c r="B27" s="139"/>
      <c r="C27" s="140"/>
      <c r="D27" s="137"/>
      <c r="E27" s="137"/>
      <c r="F27" s="137"/>
      <c r="G27" s="132"/>
      <c r="H27" s="132"/>
      <c r="I27" s="132"/>
      <c r="J27" s="118"/>
      <c r="K27" s="118"/>
      <c r="L27" s="119"/>
      <c r="R27" s="4"/>
      <c r="S27" s="71"/>
    </row>
    <row r="28" spans="2:19" x14ac:dyDescent="0.4">
      <c r="B28" s="139"/>
      <c r="C28" s="140"/>
      <c r="D28" s="137"/>
      <c r="E28" s="137"/>
      <c r="F28" s="137"/>
      <c r="G28" s="132"/>
      <c r="H28" s="132"/>
      <c r="I28" s="132"/>
      <c r="J28" s="118"/>
      <c r="K28" s="118"/>
      <c r="L28" s="119"/>
      <c r="R28" s="4"/>
      <c r="S28" s="71"/>
    </row>
    <row r="29" spans="2:19" x14ac:dyDescent="0.4">
      <c r="B29" s="139"/>
      <c r="C29" s="140"/>
      <c r="D29" s="137"/>
      <c r="E29" s="137"/>
      <c r="F29" s="137"/>
      <c r="G29" s="132"/>
      <c r="H29" s="132"/>
      <c r="I29" s="132"/>
      <c r="J29" s="118"/>
      <c r="K29" s="118"/>
      <c r="L29" s="119"/>
      <c r="R29" s="4"/>
      <c r="S29" s="71"/>
    </row>
    <row r="30" spans="2:19" ht="13.5" thickBot="1" x14ac:dyDescent="0.45">
      <c r="B30" s="139"/>
      <c r="C30" s="140"/>
      <c r="D30" s="137"/>
      <c r="E30" s="137"/>
      <c r="F30" s="137"/>
      <c r="G30" s="132"/>
      <c r="H30" s="132"/>
      <c r="I30" s="132"/>
      <c r="J30" s="118"/>
      <c r="K30" s="118"/>
      <c r="L30" s="119"/>
      <c r="R30" s="3"/>
      <c r="S30" s="23"/>
    </row>
    <row r="31" spans="2:19" x14ac:dyDescent="0.4">
      <c r="B31" s="139"/>
      <c r="C31" s="140"/>
      <c r="D31" s="137"/>
      <c r="E31" s="137"/>
      <c r="F31" s="137"/>
      <c r="G31" s="132"/>
      <c r="H31" s="132"/>
      <c r="I31" s="132"/>
      <c r="J31" s="118"/>
      <c r="K31" s="118"/>
      <c r="L31" s="119"/>
    </row>
    <row r="32" spans="2:19" x14ac:dyDescent="0.4">
      <c r="B32" s="139"/>
      <c r="C32" s="140"/>
      <c r="D32" s="137"/>
      <c r="E32" s="137"/>
      <c r="F32" s="137"/>
      <c r="G32" s="132"/>
      <c r="H32" s="132"/>
      <c r="I32" s="132"/>
      <c r="J32" s="118"/>
      <c r="K32" s="118"/>
      <c r="L32" s="119"/>
    </row>
    <row r="33" spans="2:12" x14ac:dyDescent="0.4">
      <c r="B33" s="139"/>
      <c r="C33" s="140"/>
      <c r="D33" s="137"/>
      <c r="E33" s="137"/>
      <c r="F33" s="137"/>
      <c r="G33" s="132"/>
      <c r="H33" s="132"/>
      <c r="I33" s="132"/>
      <c r="J33" s="118"/>
      <c r="K33" s="118"/>
      <c r="L33" s="119"/>
    </row>
    <row r="34" spans="2:12" x14ac:dyDescent="0.4">
      <c r="B34" s="139"/>
      <c r="C34" s="140"/>
      <c r="D34" s="137"/>
      <c r="E34" s="137"/>
      <c r="F34" s="137"/>
      <c r="G34" s="132"/>
      <c r="H34" s="132"/>
      <c r="I34" s="132"/>
      <c r="J34" s="118"/>
      <c r="K34" s="118"/>
      <c r="L34" s="119"/>
    </row>
    <row r="35" spans="2:12" x14ac:dyDescent="0.4">
      <c r="B35" s="139"/>
      <c r="C35" s="140"/>
      <c r="D35" s="137"/>
      <c r="E35" s="137"/>
      <c r="F35" s="137"/>
      <c r="G35" s="132"/>
      <c r="H35" s="132"/>
      <c r="I35" s="132"/>
      <c r="J35" s="118"/>
      <c r="K35" s="118"/>
      <c r="L35" s="119"/>
    </row>
    <row r="36" spans="2:12" x14ac:dyDescent="0.4">
      <c r="B36" s="139"/>
      <c r="C36" s="140"/>
      <c r="D36" s="137"/>
      <c r="E36" s="137"/>
      <c r="F36" s="137"/>
      <c r="G36" s="132"/>
      <c r="H36" s="132"/>
      <c r="I36" s="132"/>
      <c r="J36" s="118"/>
      <c r="K36" s="118"/>
      <c r="L36" s="119"/>
    </row>
    <row r="37" spans="2:12" x14ac:dyDescent="0.4">
      <c r="B37" s="139"/>
      <c r="C37" s="140"/>
      <c r="D37" s="137"/>
      <c r="E37" s="137"/>
      <c r="F37" s="137"/>
      <c r="G37" s="132"/>
      <c r="H37" s="132"/>
      <c r="I37" s="132"/>
      <c r="J37" s="118"/>
      <c r="K37" s="118"/>
      <c r="L37" s="119"/>
    </row>
    <row r="38" spans="2:12" x14ac:dyDescent="0.4">
      <c r="B38" s="139"/>
      <c r="C38" s="140"/>
      <c r="D38" s="137"/>
      <c r="E38" s="137"/>
      <c r="F38" s="137"/>
      <c r="G38" s="132"/>
      <c r="H38" s="132"/>
      <c r="I38" s="132"/>
      <c r="J38" s="118"/>
      <c r="K38" s="118"/>
      <c r="L38" s="119"/>
    </row>
    <row r="39" spans="2:12" x14ac:dyDescent="0.4">
      <c r="B39" s="139"/>
      <c r="C39" s="140"/>
      <c r="D39" s="137"/>
      <c r="E39" s="137"/>
      <c r="F39" s="137"/>
      <c r="G39" s="132"/>
      <c r="H39" s="132"/>
      <c r="I39" s="132"/>
      <c r="J39" s="118"/>
      <c r="K39" s="118"/>
      <c r="L39" s="119"/>
    </row>
    <row r="40" spans="2:12" x14ac:dyDescent="0.4">
      <c r="B40" s="139"/>
      <c r="C40" s="140"/>
      <c r="D40" s="137"/>
      <c r="E40" s="137"/>
      <c r="F40" s="137"/>
      <c r="G40" s="132"/>
      <c r="H40" s="132"/>
      <c r="I40" s="132"/>
      <c r="J40" s="118"/>
      <c r="K40" s="118"/>
      <c r="L40" s="119"/>
    </row>
    <row r="41" spans="2:12" x14ac:dyDescent="0.4">
      <c r="B41" s="139"/>
      <c r="C41" s="140"/>
      <c r="D41" s="137"/>
      <c r="E41" s="137"/>
      <c r="F41" s="137"/>
      <c r="G41" s="132"/>
      <c r="H41" s="132"/>
      <c r="I41" s="132"/>
      <c r="J41" s="118"/>
      <c r="K41" s="118"/>
      <c r="L41" s="119"/>
    </row>
    <row r="42" spans="2:12" x14ac:dyDescent="0.4">
      <c r="B42" s="139"/>
      <c r="C42" s="140"/>
      <c r="D42" s="137"/>
      <c r="E42" s="137"/>
      <c r="F42" s="137"/>
      <c r="G42" s="132"/>
      <c r="H42" s="132"/>
      <c r="I42" s="132"/>
      <c r="J42" s="118"/>
      <c r="K42" s="118"/>
      <c r="L42" s="119"/>
    </row>
    <row r="43" spans="2:12" x14ac:dyDescent="0.4">
      <c r="B43" s="139"/>
      <c r="C43" s="140"/>
      <c r="D43" s="137"/>
      <c r="E43" s="137"/>
      <c r="F43" s="137"/>
      <c r="G43" s="132"/>
      <c r="H43" s="132"/>
      <c r="I43" s="132"/>
      <c r="J43" s="118"/>
      <c r="K43" s="118"/>
      <c r="L43" s="119"/>
    </row>
    <row r="44" spans="2:12" x14ac:dyDescent="0.4">
      <c r="B44" s="139"/>
      <c r="C44" s="140"/>
      <c r="D44" s="137"/>
      <c r="E44" s="137"/>
      <c r="F44" s="137"/>
      <c r="G44" s="132"/>
      <c r="H44" s="132"/>
      <c r="I44" s="132"/>
      <c r="J44" s="118"/>
      <c r="K44" s="118"/>
      <c r="L44" s="119"/>
    </row>
    <row r="45" spans="2:12" x14ac:dyDescent="0.4">
      <c r="B45" s="139"/>
      <c r="C45" s="140"/>
      <c r="D45" s="137"/>
      <c r="E45" s="137"/>
      <c r="F45" s="137"/>
      <c r="G45" s="132"/>
      <c r="H45" s="132"/>
      <c r="I45" s="132"/>
      <c r="J45" s="118"/>
      <c r="K45" s="118"/>
      <c r="L45" s="119"/>
    </row>
    <row r="46" spans="2:12" x14ac:dyDescent="0.4">
      <c r="B46" s="139"/>
      <c r="C46" s="140"/>
      <c r="D46" s="137"/>
      <c r="E46" s="137"/>
      <c r="F46" s="137"/>
      <c r="G46" s="132"/>
      <c r="H46" s="132"/>
      <c r="I46" s="132"/>
      <c r="J46" s="118"/>
      <c r="K46" s="118"/>
      <c r="L46" s="119"/>
    </row>
    <row r="47" spans="2:12" x14ac:dyDescent="0.4">
      <c r="B47" s="139"/>
      <c r="C47" s="140"/>
      <c r="D47" s="137"/>
      <c r="E47" s="137"/>
      <c r="F47" s="137"/>
      <c r="G47" s="132"/>
      <c r="H47" s="132"/>
      <c r="I47" s="132"/>
      <c r="J47" s="118"/>
      <c r="K47" s="118"/>
      <c r="L47" s="119"/>
    </row>
    <row r="48" spans="2:12" x14ac:dyDescent="0.4">
      <c r="B48" s="139"/>
      <c r="C48" s="140"/>
      <c r="D48" s="137"/>
      <c r="E48" s="137"/>
      <c r="F48" s="137"/>
      <c r="G48" s="132"/>
      <c r="H48" s="132"/>
      <c r="I48" s="132"/>
      <c r="J48" s="118"/>
      <c r="K48" s="118"/>
      <c r="L48" s="119"/>
    </row>
    <row r="49" spans="2:12" x14ac:dyDescent="0.4">
      <c r="B49" s="139"/>
      <c r="C49" s="140"/>
      <c r="D49" s="137"/>
      <c r="E49" s="137"/>
      <c r="F49" s="137"/>
      <c r="G49" s="132"/>
      <c r="H49" s="132"/>
      <c r="I49" s="132"/>
      <c r="J49" s="118"/>
      <c r="K49" s="118"/>
      <c r="L49" s="119"/>
    </row>
    <row r="50" spans="2:12" x14ac:dyDescent="0.4">
      <c r="B50" s="139"/>
      <c r="C50" s="140"/>
      <c r="D50" s="137"/>
      <c r="E50" s="137"/>
      <c r="F50" s="137"/>
      <c r="G50" s="132"/>
      <c r="H50" s="132"/>
      <c r="I50" s="132"/>
      <c r="J50" s="118"/>
      <c r="K50" s="118"/>
      <c r="L50" s="119"/>
    </row>
    <row r="51" spans="2:12" x14ac:dyDescent="0.4">
      <c r="B51" s="139"/>
      <c r="C51" s="140"/>
      <c r="D51" s="137"/>
      <c r="E51" s="137"/>
      <c r="F51" s="137"/>
      <c r="G51" s="132"/>
      <c r="H51" s="132"/>
      <c r="I51" s="132"/>
      <c r="J51" s="118"/>
      <c r="K51" s="118"/>
      <c r="L51" s="119"/>
    </row>
    <row r="52" spans="2:12" x14ac:dyDescent="0.4">
      <c r="B52" s="139"/>
      <c r="C52" s="140"/>
      <c r="D52" s="137"/>
      <c r="E52" s="137"/>
      <c r="F52" s="137"/>
      <c r="G52" s="132"/>
      <c r="H52" s="132"/>
      <c r="I52" s="132"/>
      <c r="J52" s="118"/>
      <c r="K52" s="118"/>
      <c r="L52" s="119"/>
    </row>
    <row r="53" spans="2:12" x14ac:dyDescent="0.4">
      <c r="B53" s="139"/>
      <c r="C53" s="140"/>
      <c r="D53" s="137"/>
      <c r="E53" s="137"/>
      <c r="F53" s="137"/>
      <c r="G53" s="132"/>
      <c r="H53" s="132"/>
      <c r="I53" s="132"/>
      <c r="J53" s="118"/>
      <c r="K53" s="118"/>
      <c r="L53" s="119"/>
    </row>
    <row r="54" spans="2:12" ht="39" customHeight="1" x14ac:dyDescent="0.4">
      <c r="B54" s="139"/>
      <c r="C54" s="140"/>
      <c r="D54" s="137"/>
      <c r="E54" s="137"/>
      <c r="F54" s="137"/>
      <c r="G54" s="132"/>
      <c r="H54" s="132"/>
      <c r="I54" s="132"/>
      <c r="J54" s="131"/>
      <c r="K54" s="118"/>
      <c r="L54" s="119"/>
    </row>
    <row r="55" spans="2:12" x14ac:dyDescent="0.4">
      <c r="B55" s="139"/>
      <c r="C55" s="140"/>
      <c r="D55" s="137"/>
      <c r="E55" s="137"/>
      <c r="F55" s="137"/>
      <c r="G55" s="132"/>
      <c r="H55" s="132"/>
      <c r="I55" s="132"/>
      <c r="J55" s="118"/>
      <c r="K55" s="118"/>
      <c r="L55" s="119"/>
    </row>
    <row r="56" spans="2:12" x14ac:dyDescent="0.4">
      <c r="B56" s="139"/>
      <c r="C56" s="140"/>
      <c r="D56" s="137"/>
      <c r="E56" s="137"/>
      <c r="F56" s="137"/>
      <c r="G56" s="132"/>
      <c r="H56" s="132"/>
      <c r="I56" s="132"/>
      <c r="J56" s="118"/>
      <c r="K56" s="118"/>
      <c r="L56" s="119"/>
    </row>
    <row r="57" spans="2:12" ht="65" customHeight="1" x14ac:dyDescent="0.4">
      <c r="B57" s="139"/>
      <c r="C57" s="140"/>
      <c r="D57" s="137"/>
      <c r="E57" s="137"/>
      <c r="F57" s="137"/>
      <c r="G57" s="132"/>
      <c r="H57" s="132"/>
      <c r="I57" s="132"/>
      <c r="J57" s="131"/>
      <c r="K57" s="118"/>
      <c r="L57" s="119"/>
    </row>
    <row r="58" spans="2:12" x14ac:dyDescent="0.4">
      <c r="B58" s="139"/>
      <c r="C58" s="140"/>
      <c r="D58" s="137"/>
      <c r="E58" s="137"/>
      <c r="F58" s="137"/>
      <c r="G58" s="132"/>
      <c r="H58" s="132"/>
      <c r="I58" s="132"/>
      <c r="J58" s="118"/>
      <c r="K58" s="118"/>
      <c r="L58" s="119"/>
    </row>
    <row r="59" spans="2:12" x14ac:dyDescent="0.4">
      <c r="B59" s="139"/>
      <c r="C59" s="140"/>
      <c r="D59" s="137"/>
      <c r="E59" s="137"/>
      <c r="F59" s="137"/>
      <c r="G59" s="132"/>
      <c r="H59" s="132"/>
      <c r="I59" s="132"/>
      <c r="J59" s="118"/>
      <c r="K59" s="118"/>
      <c r="L59" s="119"/>
    </row>
    <row r="60" spans="2:12" x14ac:dyDescent="0.4">
      <c r="B60" s="139"/>
      <c r="C60" s="140"/>
      <c r="D60" s="137"/>
      <c r="E60" s="137"/>
      <c r="F60" s="137"/>
      <c r="G60" s="132"/>
      <c r="H60" s="132"/>
      <c r="I60" s="132"/>
      <c r="J60" s="118"/>
      <c r="K60" s="118"/>
      <c r="L60" s="119"/>
    </row>
    <row r="61" spans="2:12" x14ac:dyDescent="0.4">
      <c r="B61" s="139"/>
      <c r="C61" s="140"/>
      <c r="D61" s="137"/>
      <c r="E61" s="137"/>
      <c r="F61" s="137"/>
      <c r="G61" s="132"/>
      <c r="H61" s="132"/>
      <c r="I61" s="132"/>
      <c r="J61" s="118"/>
      <c r="K61" s="118"/>
      <c r="L61" s="119"/>
    </row>
    <row r="62" spans="2:12" x14ac:dyDescent="0.4">
      <c r="B62" s="139"/>
      <c r="C62" s="140"/>
      <c r="D62" s="137"/>
      <c r="E62" s="137"/>
      <c r="F62" s="137"/>
      <c r="G62" s="132"/>
      <c r="H62" s="132"/>
      <c r="I62" s="132"/>
      <c r="J62" s="118"/>
      <c r="K62" s="118"/>
      <c r="L62" s="119"/>
    </row>
    <row r="63" spans="2:12" x14ac:dyDescent="0.4">
      <c r="B63" s="139"/>
      <c r="C63" s="140"/>
      <c r="D63" s="137"/>
      <c r="E63" s="137"/>
      <c r="F63" s="137"/>
      <c r="G63" s="132"/>
      <c r="H63" s="132"/>
      <c r="I63" s="132"/>
      <c r="J63" s="118"/>
      <c r="K63" s="118"/>
      <c r="L63" s="119"/>
    </row>
    <row r="64" spans="2:12" x14ac:dyDescent="0.4">
      <c r="B64" s="139"/>
      <c r="C64" s="140"/>
      <c r="D64" s="137"/>
      <c r="E64" s="137"/>
      <c r="F64" s="137"/>
      <c r="G64" s="132"/>
      <c r="H64" s="132"/>
      <c r="I64" s="132"/>
      <c r="J64" s="118"/>
      <c r="K64" s="118"/>
      <c r="L64" s="119"/>
    </row>
    <row r="65" spans="2:12" x14ac:dyDescent="0.4">
      <c r="B65" s="139"/>
      <c r="C65" s="140"/>
      <c r="D65" s="137"/>
      <c r="E65" s="137"/>
      <c r="F65" s="137"/>
      <c r="G65" s="132"/>
      <c r="H65" s="132"/>
      <c r="I65" s="132"/>
      <c r="J65" s="118"/>
      <c r="K65" s="118"/>
      <c r="L65" s="119"/>
    </row>
    <row r="66" spans="2:12" x14ac:dyDescent="0.4">
      <c r="B66" s="139"/>
      <c r="C66" s="140"/>
      <c r="D66" s="137"/>
      <c r="E66" s="137"/>
      <c r="F66" s="137"/>
      <c r="G66" s="132"/>
      <c r="H66" s="132"/>
      <c r="I66" s="132"/>
      <c r="J66" s="118"/>
      <c r="K66" s="118"/>
      <c r="L66" s="119"/>
    </row>
    <row r="67" spans="2:12" x14ac:dyDescent="0.4">
      <c r="B67" s="139"/>
      <c r="C67" s="140"/>
      <c r="D67" s="137"/>
      <c r="E67" s="137"/>
      <c r="F67" s="137"/>
      <c r="G67" s="132"/>
      <c r="H67" s="132"/>
      <c r="I67" s="132"/>
      <c r="J67" s="118"/>
      <c r="K67" s="118"/>
      <c r="L67" s="119"/>
    </row>
    <row r="68" spans="2:12" x14ac:dyDescent="0.4">
      <c r="B68" s="139"/>
      <c r="C68" s="140"/>
      <c r="D68" s="137"/>
      <c r="E68" s="137"/>
      <c r="F68" s="137"/>
      <c r="G68" s="132"/>
      <c r="H68" s="132"/>
      <c r="I68" s="132"/>
      <c r="J68" s="118"/>
      <c r="K68" s="118"/>
      <c r="L68" s="119"/>
    </row>
    <row r="69" spans="2:12" x14ac:dyDescent="0.4">
      <c r="B69" s="139"/>
      <c r="C69" s="140"/>
      <c r="D69" s="137"/>
      <c r="E69" s="137"/>
      <c r="F69" s="137"/>
      <c r="G69" s="132"/>
      <c r="H69" s="132"/>
      <c r="I69" s="132"/>
      <c r="J69" s="118"/>
      <c r="K69" s="118"/>
      <c r="L69" s="119"/>
    </row>
    <row r="70" spans="2:12" x14ac:dyDescent="0.4">
      <c r="B70" s="139"/>
      <c r="C70" s="140"/>
      <c r="D70" s="137"/>
      <c r="E70" s="137"/>
      <c r="F70" s="137"/>
      <c r="G70" s="132"/>
      <c r="H70" s="132"/>
      <c r="I70" s="132"/>
      <c r="J70" s="118"/>
      <c r="K70" s="118"/>
      <c r="L70" s="119"/>
    </row>
    <row r="71" spans="2:12" x14ac:dyDescent="0.4">
      <c r="B71" s="139"/>
      <c r="C71" s="140"/>
      <c r="D71" s="137"/>
      <c r="E71" s="137"/>
      <c r="F71" s="137"/>
      <c r="G71" s="132"/>
      <c r="H71" s="132"/>
      <c r="I71" s="132"/>
      <c r="J71" s="118"/>
      <c r="K71" s="118"/>
      <c r="L71" s="119"/>
    </row>
    <row r="72" spans="2:12" x14ac:dyDescent="0.4">
      <c r="B72" s="139"/>
      <c r="C72" s="140"/>
      <c r="D72" s="137"/>
      <c r="E72" s="137"/>
      <c r="F72" s="137"/>
      <c r="G72" s="132"/>
      <c r="H72" s="132"/>
      <c r="I72" s="132"/>
      <c r="J72" s="118"/>
      <c r="K72" s="118"/>
      <c r="L72" s="119"/>
    </row>
    <row r="73" spans="2:12" x14ac:dyDescent="0.4">
      <c r="B73" s="139"/>
      <c r="C73" s="140"/>
      <c r="D73" s="137"/>
      <c r="E73" s="137"/>
      <c r="F73" s="137"/>
      <c r="G73" s="132"/>
      <c r="H73" s="132"/>
      <c r="I73" s="132"/>
      <c r="J73" s="118"/>
      <c r="K73" s="118"/>
      <c r="L73" s="119"/>
    </row>
    <row r="74" spans="2:12" x14ac:dyDescent="0.4">
      <c r="B74" s="139"/>
      <c r="C74" s="140"/>
      <c r="D74" s="137"/>
      <c r="E74" s="137"/>
      <c r="F74" s="137"/>
      <c r="G74" s="132"/>
      <c r="H74" s="132"/>
      <c r="I74" s="132"/>
      <c r="J74" s="118"/>
      <c r="K74" s="118"/>
      <c r="L74" s="119"/>
    </row>
    <row r="75" spans="2:12" x14ac:dyDescent="0.4">
      <c r="B75" s="139"/>
      <c r="C75" s="140"/>
      <c r="D75" s="137"/>
      <c r="E75" s="137"/>
      <c r="F75" s="137"/>
      <c r="G75" s="132"/>
      <c r="H75" s="132"/>
      <c r="I75" s="132"/>
      <c r="J75" s="118"/>
      <c r="K75" s="118"/>
      <c r="L75" s="119"/>
    </row>
    <row r="76" spans="2:12" x14ac:dyDescent="0.4">
      <c r="B76" s="139"/>
      <c r="C76" s="140"/>
      <c r="D76" s="137"/>
      <c r="E76" s="137"/>
      <c r="F76" s="137"/>
      <c r="G76" s="132"/>
      <c r="H76" s="132"/>
      <c r="I76" s="132"/>
      <c r="J76" s="118"/>
      <c r="K76" s="118"/>
      <c r="L76" s="119"/>
    </row>
    <row r="77" spans="2:12" x14ac:dyDescent="0.4">
      <c r="B77" s="139"/>
      <c r="C77" s="140"/>
      <c r="D77" s="137"/>
      <c r="E77" s="137"/>
      <c r="F77" s="137"/>
      <c r="G77" s="132"/>
      <c r="H77" s="132"/>
      <c r="I77" s="132"/>
      <c r="J77" s="118"/>
      <c r="K77" s="118"/>
      <c r="L77" s="119"/>
    </row>
    <row r="78" spans="2:12" x14ac:dyDescent="0.4">
      <c r="B78" s="139"/>
      <c r="C78" s="140"/>
      <c r="D78" s="137"/>
      <c r="E78" s="137"/>
      <c r="F78" s="137"/>
      <c r="G78" s="132"/>
      <c r="H78" s="132"/>
      <c r="I78" s="132"/>
      <c r="J78" s="118"/>
      <c r="K78" s="118"/>
      <c r="L78" s="119"/>
    </row>
    <row r="79" spans="2:12" x14ac:dyDescent="0.4">
      <c r="B79" s="139"/>
      <c r="C79" s="140"/>
      <c r="D79" s="137"/>
      <c r="E79" s="137"/>
      <c r="F79" s="137"/>
      <c r="G79" s="132"/>
      <c r="H79" s="132"/>
      <c r="I79" s="132"/>
      <c r="J79" s="118"/>
      <c r="K79" s="118"/>
      <c r="L79" s="119"/>
    </row>
    <row r="80" spans="2:12" x14ac:dyDescent="0.4">
      <c r="B80" s="139"/>
      <c r="C80" s="140"/>
      <c r="D80" s="137"/>
      <c r="E80" s="137"/>
      <c r="F80" s="137"/>
      <c r="G80" s="132"/>
      <c r="H80" s="132"/>
      <c r="I80" s="132"/>
      <c r="J80" s="118"/>
      <c r="K80" s="118"/>
      <c r="L80" s="119"/>
    </row>
    <row r="81" spans="2:12" x14ac:dyDescent="0.4">
      <c r="B81" s="139"/>
      <c r="C81" s="140"/>
      <c r="D81" s="137"/>
      <c r="E81" s="137"/>
      <c r="F81" s="137"/>
      <c r="G81" s="132"/>
      <c r="H81" s="132"/>
      <c r="I81" s="132"/>
      <c r="J81" s="118"/>
      <c r="K81" s="118"/>
      <c r="L81" s="119"/>
    </row>
    <row r="82" spans="2:12" x14ac:dyDescent="0.4">
      <c r="B82" s="139"/>
      <c r="C82" s="140"/>
      <c r="D82" s="137"/>
      <c r="E82" s="137"/>
      <c r="F82" s="137"/>
      <c r="G82" s="132"/>
      <c r="H82" s="132"/>
      <c r="I82" s="132"/>
      <c r="J82" s="118"/>
      <c r="K82" s="118"/>
      <c r="L82" s="119"/>
    </row>
    <row r="83" spans="2:12" x14ac:dyDescent="0.4">
      <c r="B83" s="139"/>
      <c r="C83" s="140"/>
      <c r="D83" s="137"/>
      <c r="E83" s="137"/>
      <c r="F83" s="137"/>
      <c r="G83" s="132"/>
      <c r="H83" s="132"/>
      <c r="I83" s="132"/>
      <c r="J83" s="118"/>
      <c r="K83" s="118"/>
      <c r="L83" s="119"/>
    </row>
    <row r="84" spans="2:12" x14ac:dyDescent="0.4">
      <c r="B84" s="139"/>
      <c r="C84" s="140"/>
      <c r="D84" s="137"/>
      <c r="E84" s="137"/>
      <c r="F84" s="137"/>
      <c r="G84" s="132"/>
      <c r="H84" s="132"/>
      <c r="I84" s="132"/>
      <c r="J84" s="118"/>
      <c r="K84" s="118"/>
      <c r="L84" s="119"/>
    </row>
    <row r="85" spans="2:12" x14ac:dyDescent="0.4">
      <c r="B85" s="139"/>
      <c r="C85" s="140"/>
      <c r="D85" s="137"/>
      <c r="E85" s="137"/>
      <c r="F85" s="137"/>
      <c r="G85" s="132"/>
      <c r="H85" s="132"/>
      <c r="I85" s="132"/>
      <c r="J85" s="118"/>
      <c r="K85" s="118"/>
      <c r="L85" s="119"/>
    </row>
    <row r="86" spans="2:12" ht="26" customHeight="1" x14ac:dyDescent="0.4">
      <c r="B86" s="139"/>
      <c r="C86" s="140"/>
      <c r="D86" s="137"/>
      <c r="E86" s="137"/>
      <c r="F86" s="137"/>
      <c r="G86" s="132"/>
      <c r="H86" s="132"/>
      <c r="I86" s="132"/>
      <c r="J86" s="131"/>
      <c r="K86" s="118"/>
      <c r="L86" s="119"/>
    </row>
    <row r="87" spans="2:12" x14ac:dyDescent="0.4">
      <c r="B87" s="139"/>
      <c r="C87" s="140"/>
      <c r="D87" s="137"/>
      <c r="E87" s="137"/>
      <c r="F87" s="137"/>
      <c r="G87" s="132"/>
      <c r="H87" s="132"/>
      <c r="I87" s="132"/>
      <c r="J87" s="118"/>
      <c r="K87" s="118"/>
      <c r="L87" s="119"/>
    </row>
    <row r="88" spans="2:12" x14ac:dyDescent="0.4">
      <c r="B88" s="139"/>
      <c r="C88" s="140"/>
      <c r="D88" s="137"/>
      <c r="E88" s="137"/>
      <c r="F88" s="137"/>
      <c r="G88" s="132"/>
      <c r="H88" s="132"/>
      <c r="I88" s="132"/>
      <c r="J88" s="118"/>
      <c r="K88" s="118"/>
      <c r="L88" s="119"/>
    </row>
    <row r="89" spans="2:12" x14ac:dyDescent="0.4">
      <c r="B89" s="139"/>
      <c r="C89" s="140"/>
      <c r="D89" s="137"/>
      <c r="E89" s="137"/>
      <c r="F89" s="137"/>
      <c r="G89" s="132"/>
      <c r="H89" s="132"/>
      <c r="I89" s="132"/>
      <c r="J89" s="118"/>
      <c r="K89" s="118"/>
      <c r="L89" s="119"/>
    </row>
    <row r="90" spans="2:12" x14ac:dyDescent="0.4">
      <c r="B90" s="139"/>
      <c r="C90" s="140"/>
      <c r="D90" s="137"/>
      <c r="E90" s="137"/>
      <c r="F90" s="137"/>
      <c r="G90" s="132"/>
      <c r="H90" s="132"/>
      <c r="I90" s="132"/>
      <c r="J90" s="118"/>
      <c r="K90" s="118"/>
      <c r="L90" s="119"/>
    </row>
    <row r="91" spans="2:12" x14ac:dyDescent="0.4">
      <c r="B91" s="139"/>
      <c r="C91" s="140"/>
      <c r="D91" s="137"/>
      <c r="E91" s="137"/>
      <c r="F91" s="137"/>
      <c r="G91" s="132"/>
      <c r="H91" s="132"/>
      <c r="I91" s="132"/>
      <c r="J91" s="118"/>
      <c r="K91" s="118"/>
      <c r="L91" s="119"/>
    </row>
    <row r="92" spans="2:12" x14ac:dyDescent="0.4">
      <c r="B92" s="139"/>
      <c r="C92" s="140"/>
      <c r="D92" s="137"/>
      <c r="E92" s="137"/>
      <c r="F92" s="137"/>
      <c r="G92" s="132"/>
      <c r="H92" s="132"/>
      <c r="I92" s="132"/>
      <c r="J92" s="118"/>
      <c r="K92" s="118"/>
      <c r="L92" s="119"/>
    </row>
    <row r="93" spans="2:12" ht="26" customHeight="1" x14ac:dyDescent="0.4">
      <c r="B93" s="139"/>
      <c r="C93" s="140"/>
      <c r="D93" s="137"/>
      <c r="E93" s="137"/>
      <c r="F93" s="137"/>
      <c r="G93" s="132"/>
      <c r="H93" s="132"/>
      <c r="I93" s="132"/>
      <c r="J93" s="131"/>
      <c r="K93" s="118"/>
      <c r="L93" s="119"/>
    </row>
    <row r="94" spans="2:12" x14ac:dyDescent="0.4">
      <c r="B94" s="139"/>
      <c r="C94" s="140"/>
      <c r="D94" s="137"/>
      <c r="E94" s="137"/>
      <c r="F94" s="137"/>
      <c r="G94" s="132"/>
      <c r="H94" s="132"/>
      <c r="I94" s="132"/>
      <c r="J94" s="118"/>
      <c r="K94" s="118"/>
      <c r="L94" s="119"/>
    </row>
    <row r="95" spans="2:12" x14ac:dyDescent="0.4">
      <c r="B95" s="139"/>
      <c r="C95" s="140"/>
      <c r="D95" s="137"/>
      <c r="E95" s="137"/>
      <c r="F95" s="137"/>
      <c r="G95" s="132"/>
      <c r="H95" s="132"/>
      <c r="I95" s="132"/>
      <c r="J95" s="118"/>
      <c r="K95" s="118"/>
      <c r="L95" s="119"/>
    </row>
    <row r="96" spans="2:12" x14ac:dyDescent="0.4">
      <c r="B96" s="139"/>
      <c r="C96" s="140"/>
      <c r="D96" s="137"/>
      <c r="E96" s="137"/>
      <c r="F96" s="137"/>
      <c r="G96" s="132"/>
      <c r="H96" s="132"/>
      <c r="I96" s="132"/>
      <c r="J96" s="118"/>
      <c r="K96" s="118"/>
      <c r="L96" s="119"/>
    </row>
    <row r="97" spans="2:12" x14ac:dyDescent="0.4">
      <c r="B97" s="139"/>
      <c r="C97" s="140"/>
      <c r="D97" s="137"/>
      <c r="E97" s="137"/>
      <c r="F97" s="137"/>
      <c r="G97" s="132"/>
      <c r="H97" s="132"/>
      <c r="I97" s="132"/>
      <c r="J97" s="118"/>
      <c r="K97" s="118"/>
      <c r="L97" s="119"/>
    </row>
    <row r="98" spans="2:12" x14ac:dyDescent="0.4">
      <c r="B98" s="139"/>
      <c r="C98" s="140"/>
      <c r="D98" s="137"/>
      <c r="E98" s="137"/>
      <c r="F98" s="137"/>
      <c r="G98" s="132"/>
      <c r="H98" s="132"/>
      <c r="I98" s="132"/>
      <c r="J98" s="118"/>
      <c r="K98" s="118"/>
      <c r="L98" s="119"/>
    </row>
    <row r="99" spans="2:12" x14ac:dyDescent="0.4">
      <c r="B99" s="139"/>
      <c r="C99" s="140"/>
      <c r="D99" s="137"/>
      <c r="E99" s="137"/>
      <c r="F99" s="137"/>
      <c r="G99" s="132"/>
      <c r="H99" s="132"/>
      <c r="I99" s="132"/>
      <c r="J99" s="118"/>
      <c r="K99" s="118"/>
      <c r="L99" s="119"/>
    </row>
    <row r="100" spans="2:12" ht="26" customHeight="1" x14ac:dyDescent="0.4">
      <c r="B100" s="139"/>
      <c r="C100" s="140"/>
      <c r="D100" s="137"/>
      <c r="E100" s="137"/>
      <c r="F100" s="137"/>
      <c r="G100" s="132"/>
      <c r="H100" s="132"/>
      <c r="I100" s="132"/>
      <c r="J100" s="131"/>
      <c r="K100" s="118"/>
      <c r="L100" s="119"/>
    </row>
    <row r="101" spans="2:12" x14ac:dyDescent="0.4">
      <c r="B101" s="139"/>
      <c r="C101" s="140"/>
      <c r="D101" s="137"/>
      <c r="E101" s="137"/>
      <c r="F101" s="137"/>
      <c r="G101" s="132"/>
      <c r="H101" s="132"/>
      <c r="I101" s="132"/>
      <c r="J101" s="118"/>
      <c r="K101" s="118"/>
      <c r="L101" s="119"/>
    </row>
    <row r="102" spans="2:12" x14ac:dyDescent="0.4">
      <c r="B102" s="139"/>
      <c r="C102" s="140"/>
      <c r="D102" s="137"/>
      <c r="E102" s="137"/>
      <c r="F102" s="137"/>
      <c r="G102" s="132"/>
      <c r="H102" s="132"/>
      <c r="I102" s="132"/>
      <c r="J102" s="118"/>
      <c r="K102" s="118"/>
      <c r="L102" s="119"/>
    </row>
    <row r="103" spans="2:12" x14ac:dyDescent="0.4">
      <c r="B103" s="139"/>
      <c r="C103" s="140"/>
      <c r="D103" s="137"/>
      <c r="E103" s="137"/>
      <c r="F103" s="137"/>
      <c r="G103" s="132"/>
      <c r="H103" s="132"/>
      <c r="I103" s="132"/>
      <c r="J103" s="118"/>
      <c r="K103" s="118"/>
      <c r="L103" s="119"/>
    </row>
    <row r="104" spans="2:12" x14ac:dyDescent="0.4">
      <c r="B104" s="139"/>
      <c r="C104" s="140"/>
      <c r="D104" s="137"/>
      <c r="E104" s="137"/>
      <c r="F104" s="137"/>
      <c r="G104" s="132"/>
      <c r="H104" s="132"/>
      <c r="I104" s="132"/>
      <c r="J104" s="118"/>
      <c r="K104" s="118"/>
      <c r="L104" s="119"/>
    </row>
    <row r="105" spans="2:12" x14ac:dyDescent="0.4">
      <c r="B105" s="139"/>
      <c r="C105" s="140"/>
      <c r="D105" s="137"/>
      <c r="E105" s="137"/>
      <c r="F105" s="137"/>
      <c r="G105" s="132"/>
      <c r="H105" s="132"/>
      <c r="I105" s="132"/>
      <c r="J105" s="118"/>
      <c r="K105" s="118"/>
      <c r="L105" s="119"/>
    </row>
    <row r="106" spans="2:12" x14ac:dyDescent="0.4">
      <c r="B106" s="139"/>
      <c r="C106" s="140"/>
      <c r="D106" s="137"/>
      <c r="E106" s="137"/>
      <c r="F106" s="137"/>
      <c r="G106" s="132"/>
      <c r="H106" s="132"/>
      <c r="I106" s="132"/>
      <c r="J106" s="118"/>
      <c r="K106" s="118"/>
      <c r="L106" s="119"/>
    </row>
    <row r="107" spans="2:12" x14ac:dyDescent="0.4">
      <c r="B107" s="139"/>
      <c r="C107" s="140"/>
      <c r="D107" s="137"/>
      <c r="E107" s="137"/>
      <c r="F107" s="137"/>
      <c r="G107" s="132"/>
      <c r="H107" s="132"/>
      <c r="I107" s="132"/>
      <c r="J107" s="118"/>
      <c r="K107" s="118"/>
      <c r="L107" s="119"/>
    </row>
    <row r="108" spans="2:12" x14ac:dyDescent="0.4">
      <c r="B108" s="139"/>
      <c r="C108" s="140"/>
      <c r="D108" s="137"/>
      <c r="E108" s="137"/>
      <c r="F108" s="137"/>
      <c r="G108" s="132"/>
      <c r="H108" s="132"/>
      <c r="I108" s="132"/>
      <c r="J108" s="118"/>
      <c r="K108" s="118"/>
      <c r="L108" s="119"/>
    </row>
    <row r="109" spans="2:12" x14ac:dyDescent="0.4">
      <c r="B109" s="139"/>
      <c r="C109" s="140"/>
      <c r="D109" s="137"/>
      <c r="E109" s="137"/>
      <c r="F109" s="137"/>
      <c r="G109" s="132"/>
      <c r="H109" s="132"/>
      <c r="I109" s="132"/>
      <c r="J109" s="118"/>
      <c r="K109" s="118"/>
      <c r="L109" s="119"/>
    </row>
    <row r="110" spans="2:12" x14ac:dyDescent="0.4">
      <c r="B110" s="139"/>
      <c r="C110" s="140"/>
      <c r="D110" s="137"/>
      <c r="E110" s="137"/>
      <c r="F110" s="137"/>
      <c r="G110" s="132"/>
      <c r="H110" s="132"/>
      <c r="I110" s="132"/>
      <c r="J110" s="118"/>
      <c r="K110" s="118"/>
      <c r="L110" s="119"/>
    </row>
    <row r="111" spans="2:12" x14ac:dyDescent="0.4">
      <c r="B111" s="139"/>
      <c r="C111" s="140"/>
      <c r="D111" s="137"/>
      <c r="E111" s="137"/>
      <c r="F111" s="137"/>
      <c r="G111" s="132"/>
      <c r="H111" s="132"/>
      <c r="I111" s="132"/>
      <c r="J111" s="118"/>
      <c r="K111" s="118"/>
      <c r="L111" s="119"/>
    </row>
    <row r="112" spans="2:12" x14ac:dyDescent="0.4">
      <c r="B112" s="139"/>
      <c r="C112" s="140"/>
      <c r="D112" s="137"/>
      <c r="E112" s="137"/>
      <c r="F112" s="137"/>
      <c r="G112" s="132"/>
      <c r="H112" s="132"/>
      <c r="I112" s="132"/>
      <c r="J112" s="118"/>
      <c r="K112" s="118"/>
      <c r="L112" s="119"/>
    </row>
    <row r="113" spans="2:12" x14ac:dyDescent="0.4">
      <c r="B113" s="139"/>
      <c r="C113" s="140"/>
      <c r="D113" s="137"/>
      <c r="E113" s="137"/>
      <c r="F113" s="137"/>
      <c r="G113" s="132"/>
      <c r="H113" s="132"/>
      <c r="I113" s="132"/>
      <c r="J113" s="118"/>
      <c r="K113" s="118"/>
      <c r="L113" s="119"/>
    </row>
    <row r="114" spans="2:12" x14ac:dyDescent="0.4">
      <c r="B114" s="139"/>
      <c r="C114" s="140"/>
      <c r="D114" s="137"/>
      <c r="E114" s="137"/>
      <c r="F114" s="137"/>
      <c r="G114" s="132"/>
      <c r="H114" s="132"/>
      <c r="I114" s="132"/>
      <c r="J114" s="118"/>
      <c r="K114" s="118"/>
      <c r="L114" s="119"/>
    </row>
    <row r="115" spans="2:12" x14ac:dyDescent="0.4">
      <c r="B115" s="139"/>
      <c r="C115" s="140"/>
      <c r="D115" s="137"/>
      <c r="E115" s="137"/>
      <c r="F115" s="137"/>
      <c r="G115" s="132"/>
      <c r="H115" s="132"/>
      <c r="I115" s="132"/>
      <c r="J115" s="118"/>
      <c r="K115" s="118"/>
      <c r="L115" s="119"/>
    </row>
    <row r="116" spans="2:12" x14ac:dyDescent="0.4">
      <c r="B116" s="139"/>
      <c r="C116" s="140"/>
      <c r="D116" s="137"/>
      <c r="E116" s="137"/>
      <c r="F116" s="137"/>
      <c r="G116" s="132"/>
      <c r="H116" s="132"/>
      <c r="I116" s="132"/>
      <c r="J116" s="118"/>
      <c r="K116" s="118"/>
      <c r="L116" s="119"/>
    </row>
    <row r="117" spans="2:12" x14ac:dyDescent="0.4">
      <c r="B117" s="139"/>
      <c r="C117" s="140"/>
      <c r="D117" s="137"/>
      <c r="E117" s="137"/>
      <c r="F117" s="137"/>
      <c r="G117" s="132"/>
      <c r="H117" s="132"/>
      <c r="I117" s="132"/>
      <c r="J117" s="118"/>
      <c r="K117" s="118"/>
      <c r="L117" s="119"/>
    </row>
    <row r="118" spans="2:12" x14ac:dyDescent="0.4">
      <c r="B118" s="139"/>
      <c r="C118" s="140"/>
      <c r="D118" s="137"/>
      <c r="E118" s="137"/>
      <c r="F118" s="137"/>
      <c r="G118" s="132"/>
      <c r="H118" s="132"/>
      <c r="I118" s="132"/>
      <c r="J118" s="118"/>
      <c r="K118" s="118"/>
      <c r="L118" s="119"/>
    </row>
    <row r="119" spans="2:12" x14ac:dyDescent="0.4">
      <c r="B119" s="139"/>
      <c r="C119" s="140"/>
      <c r="D119" s="137"/>
      <c r="E119" s="137"/>
      <c r="F119" s="137"/>
      <c r="G119" s="132"/>
      <c r="H119" s="132"/>
      <c r="I119" s="132"/>
      <c r="J119" s="118"/>
      <c r="K119" s="118"/>
      <c r="L119" s="119"/>
    </row>
    <row r="120" spans="2:12" x14ac:dyDescent="0.4">
      <c r="B120" s="139"/>
      <c r="C120" s="140"/>
      <c r="D120" s="137"/>
      <c r="E120" s="137"/>
      <c r="F120" s="137"/>
      <c r="G120" s="132"/>
      <c r="H120" s="132"/>
      <c r="I120" s="132"/>
      <c r="J120" s="118"/>
      <c r="K120" s="118"/>
      <c r="L120" s="119"/>
    </row>
    <row r="121" spans="2:12" x14ac:dyDescent="0.4">
      <c r="B121" s="139"/>
      <c r="C121" s="140"/>
      <c r="D121" s="137"/>
      <c r="E121" s="137"/>
      <c r="F121" s="137"/>
      <c r="G121" s="132"/>
      <c r="H121" s="132"/>
      <c r="I121" s="132"/>
      <c r="J121" s="118"/>
      <c r="K121" s="118"/>
      <c r="L121" s="119"/>
    </row>
    <row r="122" spans="2:12" x14ac:dyDescent="0.4">
      <c r="B122" s="139"/>
      <c r="C122" s="140"/>
      <c r="D122" s="137"/>
      <c r="E122" s="137"/>
      <c r="F122" s="137"/>
      <c r="G122" s="132"/>
      <c r="H122" s="132"/>
      <c r="I122" s="132"/>
      <c r="J122" s="118"/>
      <c r="K122" s="118"/>
      <c r="L122" s="119"/>
    </row>
    <row r="123" spans="2:12" x14ac:dyDescent="0.4">
      <c r="B123" s="139"/>
      <c r="C123" s="140"/>
      <c r="D123" s="137"/>
      <c r="E123" s="137"/>
      <c r="F123" s="137"/>
      <c r="G123" s="132"/>
      <c r="H123" s="132"/>
      <c r="I123" s="132"/>
      <c r="J123" s="118"/>
      <c r="K123" s="118"/>
      <c r="L123" s="119"/>
    </row>
    <row r="124" spans="2:12" x14ac:dyDescent="0.4">
      <c r="B124" s="139"/>
      <c r="C124" s="140"/>
      <c r="D124" s="137"/>
      <c r="E124" s="137"/>
      <c r="F124" s="137"/>
      <c r="G124" s="132"/>
      <c r="H124" s="132"/>
      <c r="I124" s="132"/>
      <c r="J124" s="118"/>
      <c r="K124" s="118"/>
      <c r="L124" s="119"/>
    </row>
    <row r="125" spans="2:12" x14ac:dyDescent="0.4">
      <c r="B125" s="139"/>
      <c r="C125" s="140"/>
      <c r="D125" s="137"/>
      <c r="E125" s="137"/>
      <c r="F125" s="137"/>
      <c r="G125" s="132"/>
      <c r="H125" s="132"/>
      <c r="I125" s="132"/>
      <c r="J125" s="118"/>
      <c r="K125" s="118"/>
      <c r="L125" s="119"/>
    </row>
    <row r="126" spans="2:12" x14ac:dyDescent="0.4">
      <c r="B126" s="139"/>
      <c r="C126" s="140"/>
      <c r="D126" s="137"/>
      <c r="E126" s="137"/>
      <c r="F126" s="137"/>
      <c r="G126" s="132"/>
      <c r="H126" s="132"/>
      <c r="I126" s="132"/>
      <c r="J126" s="118"/>
      <c r="K126" s="118"/>
      <c r="L126" s="119"/>
    </row>
    <row r="127" spans="2:12" x14ac:dyDescent="0.4">
      <c r="B127" s="139"/>
      <c r="C127" s="140"/>
      <c r="D127" s="137"/>
      <c r="E127" s="137"/>
      <c r="F127" s="137"/>
      <c r="G127" s="132"/>
      <c r="H127" s="132"/>
      <c r="I127" s="132"/>
      <c r="J127" s="118"/>
      <c r="K127" s="118"/>
      <c r="L127" s="119"/>
    </row>
    <row r="128" spans="2:12" x14ac:dyDescent="0.4">
      <c r="B128" s="139"/>
      <c r="C128" s="140"/>
      <c r="D128" s="137"/>
      <c r="E128" s="137"/>
      <c r="F128" s="137"/>
      <c r="G128" s="132"/>
      <c r="H128" s="132"/>
      <c r="I128" s="132"/>
      <c r="J128" s="118"/>
      <c r="K128" s="118"/>
      <c r="L128" s="119"/>
    </row>
    <row r="129" spans="2:12" x14ac:dyDescent="0.4">
      <c r="B129" s="139"/>
      <c r="C129" s="140"/>
      <c r="D129" s="137"/>
      <c r="E129" s="137"/>
      <c r="F129" s="137"/>
      <c r="G129" s="132"/>
      <c r="H129" s="132"/>
      <c r="I129" s="132"/>
      <c r="J129" s="118"/>
      <c r="K129" s="118"/>
      <c r="L129" s="119"/>
    </row>
    <row r="130" spans="2:12" x14ac:dyDescent="0.4">
      <c r="B130" s="139"/>
      <c r="C130" s="140"/>
      <c r="D130" s="137"/>
      <c r="E130" s="137"/>
      <c r="F130" s="137"/>
      <c r="G130" s="132"/>
      <c r="H130" s="132"/>
      <c r="I130" s="132"/>
      <c r="J130" s="118"/>
      <c r="K130" s="118"/>
      <c r="L130" s="119"/>
    </row>
    <row r="131" spans="2:12" x14ac:dyDescent="0.4">
      <c r="B131" s="139"/>
      <c r="C131" s="140"/>
      <c r="D131" s="137"/>
      <c r="E131" s="137"/>
      <c r="F131" s="137"/>
      <c r="G131" s="132"/>
      <c r="H131" s="132"/>
      <c r="I131" s="132"/>
      <c r="J131" s="118"/>
      <c r="K131" s="118"/>
      <c r="L131" s="119"/>
    </row>
    <row r="132" spans="2:12" x14ac:dyDescent="0.4">
      <c r="B132" s="139"/>
      <c r="C132" s="140"/>
      <c r="D132" s="137"/>
      <c r="E132" s="137"/>
      <c r="F132" s="137"/>
      <c r="G132" s="132"/>
      <c r="H132" s="132"/>
      <c r="I132" s="132"/>
      <c r="J132" s="118"/>
      <c r="K132" s="118"/>
      <c r="L132" s="119"/>
    </row>
    <row r="133" spans="2:12" x14ac:dyDescent="0.4">
      <c r="B133" s="139"/>
      <c r="C133" s="140"/>
      <c r="D133" s="137"/>
      <c r="E133" s="137"/>
      <c r="F133" s="137"/>
      <c r="G133" s="132"/>
      <c r="H133" s="132"/>
      <c r="I133" s="132"/>
      <c r="J133" s="118"/>
      <c r="K133" s="118"/>
      <c r="L133" s="119"/>
    </row>
    <row r="134" spans="2:12" x14ac:dyDescent="0.4">
      <c r="B134" s="139"/>
      <c r="C134" s="140"/>
      <c r="D134" s="137"/>
      <c r="E134" s="137"/>
      <c r="F134" s="137"/>
      <c r="G134" s="132"/>
      <c r="H134" s="132"/>
      <c r="I134" s="132"/>
      <c r="J134" s="118"/>
      <c r="K134" s="118"/>
      <c r="L134" s="119"/>
    </row>
    <row r="135" spans="2:12" x14ac:dyDescent="0.4">
      <c r="B135" s="139"/>
      <c r="C135" s="140"/>
      <c r="D135" s="137"/>
      <c r="E135" s="137"/>
      <c r="F135" s="137"/>
      <c r="G135" s="132"/>
      <c r="H135" s="132"/>
      <c r="I135" s="132"/>
      <c r="J135" s="118"/>
      <c r="K135" s="118"/>
      <c r="L135" s="119"/>
    </row>
    <row r="136" spans="2:12" x14ac:dyDescent="0.4">
      <c r="B136" s="139"/>
      <c r="C136" s="140"/>
      <c r="D136" s="137"/>
      <c r="E136" s="137"/>
      <c r="F136" s="137"/>
      <c r="G136" s="132"/>
      <c r="H136" s="132"/>
      <c r="I136" s="132"/>
      <c r="J136" s="118"/>
      <c r="K136" s="118"/>
      <c r="L136" s="119"/>
    </row>
    <row r="137" spans="2:12" x14ac:dyDescent="0.4">
      <c r="B137" s="139"/>
      <c r="C137" s="140"/>
      <c r="D137" s="137"/>
      <c r="E137" s="137"/>
      <c r="F137" s="137"/>
      <c r="G137" s="132"/>
      <c r="H137" s="132"/>
      <c r="I137" s="132"/>
      <c r="J137" s="118"/>
      <c r="K137" s="118"/>
      <c r="L137" s="119"/>
    </row>
    <row r="138" spans="2:12" x14ac:dyDescent="0.4">
      <c r="B138" s="139"/>
      <c r="C138" s="140"/>
      <c r="D138" s="137"/>
      <c r="E138" s="137"/>
      <c r="F138" s="137"/>
      <c r="G138" s="132"/>
      <c r="H138" s="132"/>
      <c r="I138" s="132"/>
      <c r="J138" s="118"/>
      <c r="K138" s="118"/>
      <c r="L138" s="119"/>
    </row>
    <row r="139" spans="2:12" x14ac:dyDescent="0.4">
      <c r="B139" s="139"/>
      <c r="C139" s="140"/>
      <c r="D139" s="137"/>
      <c r="E139" s="137"/>
      <c r="F139" s="137"/>
      <c r="G139" s="132"/>
      <c r="H139" s="132"/>
      <c r="I139" s="132"/>
      <c r="J139" s="118"/>
      <c r="K139" s="118"/>
      <c r="L139" s="119"/>
    </row>
    <row r="140" spans="2:12" x14ac:dyDescent="0.4">
      <c r="B140" s="139"/>
      <c r="C140" s="140"/>
      <c r="D140" s="137"/>
      <c r="E140" s="137"/>
      <c r="F140" s="137"/>
      <c r="G140" s="132"/>
      <c r="H140" s="132"/>
      <c r="I140" s="132"/>
      <c r="J140" s="118"/>
      <c r="K140" s="118"/>
      <c r="L140" s="119"/>
    </row>
    <row r="141" spans="2:12" x14ac:dyDescent="0.4">
      <c r="B141" s="139"/>
      <c r="C141" s="140"/>
      <c r="D141" s="137"/>
      <c r="E141" s="137"/>
      <c r="F141" s="137"/>
      <c r="G141" s="132"/>
      <c r="H141" s="132"/>
      <c r="I141" s="132"/>
      <c r="J141" s="118"/>
      <c r="K141" s="118"/>
      <c r="L141" s="119"/>
    </row>
    <row r="142" spans="2:12" x14ac:dyDescent="0.4">
      <c r="B142" s="139"/>
      <c r="C142" s="140"/>
      <c r="D142" s="137"/>
      <c r="E142" s="137"/>
      <c r="F142" s="137"/>
      <c r="G142" s="132"/>
      <c r="H142" s="132"/>
      <c r="I142" s="132"/>
      <c r="J142" s="118"/>
      <c r="K142" s="118"/>
      <c r="L142" s="119"/>
    </row>
    <row r="143" spans="2:12" x14ac:dyDescent="0.4">
      <c r="B143" s="139"/>
      <c r="C143" s="140"/>
      <c r="D143" s="137"/>
      <c r="E143" s="137"/>
      <c r="F143" s="137"/>
      <c r="G143" s="132"/>
      <c r="H143" s="132"/>
      <c r="I143" s="132"/>
      <c r="J143" s="118"/>
      <c r="K143" s="118"/>
      <c r="L143" s="119"/>
    </row>
    <row r="144" spans="2:12" x14ac:dyDescent="0.4">
      <c r="B144" s="139"/>
      <c r="C144" s="140"/>
      <c r="D144" s="137"/>
      <c r="E144" s="137"/>
      <c r="F144" s="137"/>
      <c r="G144" s="132"/>
      <c r="H144" s="132"/>
      <c r="I144" s="132"/>
      <c r="J144" s="118"/>
      <c r="K144" s="118"/>
      <c r="L144" s="119"/>
    </row>
    <row r="145" spans="2:12" x14ac:dyDescent="0.4">
      <c r="B145" s="139"/>
      <c r="C145" s="140"/>
      <c r="D145" s="137"/>
      <c r="E145" s="137"/>
      <c r="F145" s="137"/>
      <c r="G145" s="132"/>
      <c r="H145" s="132"/>
      <c r="I145" s="132"/>
      <c r="J145" s="118"/>
      <c r="K145" s="118"/>
      <c r="L145" s="119"/>
    </row>
    <row r="146" spans="2:12" x14ac:dyDescent="0.4">
      <c r="B146" s="139"/>
      <c r="C146" s="140"/>
      <c r="D146" s="137"/>
      <c r="E146" s="137"/>
      <c r="F146" s="137"/>
      <c r="G146" s="132"/>
      <c r="H146" s="132"/>
      <c r="I146" s="132"/>
      <c r="J146" s="118"/>
      <c r="K146" s="118"/>
      <c r="L146" s="119"/>
    </row>
    <row r="147" spans="2:12" x14ac:dyDescent="0.4">
      <c r="B147" s="139"/>
      <c r="C147" s="140"/>
      <c r="D147" s="137"/>
      <c r="E147" s="137"/>
      <c r="F147" s="137"/>
      <c r="G147" s="132"/>
      <c r="H147" s="132"/>
      <c r="I147" s="132"/>
      <c r="J147" s="118"/>
      <c r="K147" s="118"/>
      <c r="L147" s="119"/>
    </row>
    <row r="148" spans="2:12" x14ac:dyDescent="0.4">
      <c r="B148" s="139"/>
      <c r="C148" s="140"/>
      <c r="D148" s="137"/>
      <c r="E148" s="137"/>
      <c r="F148" s="137"/>
      <c r="G148" s="132"/>
      <c r="H148" s="132"/>
      <c r="I148" s="132"/>
      <c r="J148" s="118"/>
      <c r="K148" s="118"/>
      <c r="L148" s="119"/>
    </row>
    <row r="149" spans="2:12" x14ac:dyDescent="0.4">
      <c r="B149" s="139"/>
      <c r="C149" s="140"/>
      <c r="D149" s="137"/>
      <c r="E149" s="137"/>
      <c r="F149" s="137"/>
      <c r="G149" s="132"/>
      <c r="H149" s="132"/>
      <c r="I149" s="132"/>
      <c r="J149" s="118"/>
      <c r="K149" s="118"/>
      <c r="L149" s="119"/>
    </row>
    <row r="150" spans="2:12" x14ac:dyDescent="0.4">
      <c r="B150" s="139"/>
      <c r="C150" s="140"/>
      <c r="D150" s="137"/>
      <c r="E150" s="137"/>
      <c r="F150" s="137"/>
      <c r="G150" s="132"/>
      <c r="H150" s="132"/>
      <c r="I150" s="132"/>
      <c r="J150" s="118"/>
      <c r="K150" s="118"/>
      <c r="L150" s="119"/>
    </row>
    <row r="151" spans="2:12" x14ac:dyDescent="0.4">
      <c r="B151" s="139"/>
      <c r="C151" s="140"/>
      <c r="D151" s="137"/>
      <c r="E151" s="137"/>
      <c r="F151" s="137"/>
      <c r="G151" s="132"/>
      <c r="H151" s="132"/>
      <c r="I151" s="132"/>
      <c r="J151" s="118"/>
      <c r="K151" s="118"/>
      <c r="L151" s="119"/>
    </row>
    <row r="152" spans="2:12" x14ac:dyDescent="0.4">
      <c r="B152" s="139"/>
      <c r="C152" s="140"/>
      <c r="D152" s="137"/>
      <c r="E152" s="137"/>
      <c r="F152" s="137"/>
      <c r="G152" s="132"/>
      <c r="H152" s="132"/>
      <c r="I152" s="132"/>
      <c r="J152" s="118"/>
      <c r="K152" s="118"/>
      <c r="L152" s="119"/>
    </row>
    <row r="153" spans="2:12" x14ac:dyDescent="0.4">
      <c r="B153" s="139"/>
      <c r="C153" s="140"/>
      <c r="D153" s="137"/>
      <c r="E153" s="137"/>
      <c r="F153" s="137"/>
      <c r="G153" s="132"/>
      <c r="H153" s="132"/>
      <c r="I153" s="132"/>
      <c r="J153" s="118"/>
      <c r="K153" s="118"/>
      <c r="L153" s="119"/>
    </row>
    <row r="154" spans="2:12" x14ac:dyDescent="0.4">
      <c r="B154" s="139"/>
      <c r="C154" s="140"/>
      <c r="D154" s="137"/>
      <c r="E154" s="137"/>
      <c r="F154" s="137"/>
      <c r="G154" s="132"/>
      <c r="H154" s="132"/>
      <c r="I154" s="132"/>
      <c r="J154" s="118"/>
      <c r="K154" s="118"/>
      <c r="L154" s="119"/>
    </row>
    <row r="155" spans="2:12" x14ac:dyDescent="0.4">
      <c r="B155" s="139"/>
      <c r="C155" s="140"/>
      <c r="D155" s="137"/>
      <c r="E155" s="137"/>
      <c r="F155" s="137"/>
      <c r="G155" s="132"/>
      <c r="H155" s="132"/>
      <c r="I155" s="132"/>
      <c r="J155" s="118"/>
      <c r="K155" s="118"/>
      <c r="L155" s="119"/>
    </row>
    <row r="156" spans="2:12" x14ac:dyDescent="0.4">
      <c r="B156" s="139"/>
      <c r="C156" s="140"/>
      <c r="D156" s="137"/>
      <c r="E156" s="137"/>
      <c r="F156" s="137"/>
      <c r="G156" s="132"/>
      <c r="H156" s="132"/>
      <c r="I156" s="132"/>
      <c r="J156" s="118"/>
      <c r="K156" s="118"/>
      <c r="L156" s="119"/>
    </row>
    <row r="157" spans="2:12" x14ac:dyDescent="0.4">
      <c r="B157" s="139"/>
      <c r="C157" s="140"/>
      <c r="D157" s="137"/>
      <c r="E157" s="137"/>
      <c r="F157" s="137"/>
      <c r="G157" s="132"/>
      <c r="H157" s="132"/>
      <c r="I157" s="132"/>
      <c r="J157" s="118"/>
      <c r="K157" s="118"/>
      <c r="L157" s="119"/>
    </row>
    <row r="158" spans="2:12" x14ac:dyDescent="0.4">
      <c r="B158" s="139"/>
      <c r="C158" s="140"/>
      <c r="D158" s="137"/>
      <c r="E158" s="137"/>
      <c r="F158" s="137"/>
      <c r="G158" s="132"/>
      <c r="H158" s="132"/>
      <c r="I158" s="132"/>
      <c r="J158" s="118"/>
      <c r="K158" s="118"/>
      <c r="L158" s="119"/>
    </row>
    <row r="159" spans="2:12" x14ac:dyDescent="0.4">
      <c r="B159" s="139"/>
      <c r="C159" s="140"/>
      <c r="D159" s="137"/>
      <c r="E159" s="137"/>
      <c r="F159" s="137"/>
      <c r="G159" s="132"/>
      <c r="H159" s="132"/>
      <c r="I159" s="132"/>
      <c r="J159" s="118"/>
      <c r="K159" s="118"/>
      <c r="L159" s="119"/>
    </row>
    <row r="160" spans="2:12" x14ac:dyDescent="0.4">
      <c r="B160" s="139"/>
      <c r="C160" s="140"/>
      <c r="D160" s="137"/>
      <c r="E160" s="137"/>
      <c r="F160" s="137"/>
      <c r="G160" s="132"/>
      <c r="H160" s="132"/>
      <c r="I160" s="132"/>
      <c r="J160" s="118"/>
      <c r="K160" s="118"/>
      <c r="L160" s="119"/>
    </row>
    <row r="161" spans="2:12" x14ac:dyDescent="0.4">
      <c r="B161" s="139"/>
      <c r="C161" s="140"/>
      <c r="D161" s="137"/>
      <c r="E161" s="137"/>
      <c r="F161" s="137"/>
      <c r="G161" s="132"/>
      <c r="H161" s="132"/>
      <c r="I161" s="132"/>
      <c r="J161" s="118"/>
      <c r="K161" s="118"/>
      <c r="L161" s="119"/>
    </row>
    <row r="162" spans="2:12" x14ac:dyDescent="0.4">
      <c r="B162" s="139"/>
      <c r="C162" s="140"/>
      <c r="D162" s="137"/>
      <c r="E162" s="137"/>
      <c r="F162" s="137"/>
      <c r="G162" s="132"/>
      <c r="H162" s="132"/>
      <c r="I162" s="132"/>
      <c r="J162" s="118"/>
      <c r="K162" s="118"/>
      <c r="L162" s="119"/>
    </row>
    <row r="163" spans="2:12" x14ac:dyDescent="0.4">
      <c r="B163" s="139"/>
      <c r="C163" s="140"/>
      <c r="D163" s="137"/>
      <c r="E163" s="137"/>
      <c r="F163" s="137"/>
      <c r="G163" s="132"/>
      <c r="H163" s="132"/>
      <c r="I163" s="132"/>
      <c r="J163" s="118"/>
      <c r="K163" s="118"/>
      <c r="L163" s="119"/>
    </row>
    <row r="164" spans="2:12" x14ac:dyDescent="0.4">
      <c r="B164" s="139"/>
      <c r="C164" s="140"/>
      <c r="D164" s="137"/>
      <c r="E164" s="137"/>
      <c r="F164" s="137"/>
      <c r="G164" s="132"/>
      <c r="H164" s="132"/>
      <c r="I164" s="132"/>
      <c r="J164" s="118"/>
      <c r="K164" s="118"/>
      <c r="L164" s="119"/>
    </row>
    <row r="165" spans="2:12" x14ac:dyDescent="0.4">
      <c r="B165" s="139"/>
      <c r="C165" s="140"/>
      <c r="D165" s="137"/>
      <c r="E165" s="137"/>
      <c r="F165" s="137"/>
      <c r="G165" s="132"/>
      <c r="H165" s="132"/>
      <c r="I165" s="132"/>
      <c r="J165" s="118"/>
      <c r="K165" s="118"/>
      <c r="L165" s="119"/>
    </row>
    <row r="166" spans="2:12" x14ac:dyDescent="0.4">
      <c r="B166" s="139"/>
      <c r="C166" s="140"/>
      <c r="D166" s="137"/>
      <c r="E166" s="137"/>
      <c r="F166" s="137"/>
      <c r="G166" s="132"/>
      <c r="H166" s="132"/>
      <c r="I166" s="132"/>
      <c r="J166" s="118"/>
      <c r="K166" s="118"/>
      <c r="L166" s="119"/>
    </row>
    <row r="167" spans="2:12" x14ac:dyDescent="0.4">
      <c r="B167" s="139"/>
      <c r="C167" s="140"/>
      <c r="D167" s="137"/>
      <c r="E167" s="137"/>
      <c r="F167" s="137"/>
      <c r="G167" s="132"/>
      <c r="H167" s="132"/>
      <c r="I167" s="132"/>
      <c r="J167" s="118"/>
      <c r="K167" s="118"/>
      <c r="L167" s="119"/>
    </row>
    <row r="168" spans="2:12" x14ac:dyDescent="0.4">
      <c r="B168" s="139"/>
      <c r="C168" s="140"/>
      <c r="D168" s="137"/>
      <c r="E168" s="137"/>
      <c r="F168" s="137"/>
      <c r="G168" s="132"/>
      <c r="H168" s="132"/>
      <c r="I168" s="132"/>
      <c r="J168" s="118"/>
      <c r="K168" s="118"/>
      <c r="L168" s="119"/>
    </row>
    <row r="169" spans="2:12" x14ac:dyDescent="0.4">
      <c r="B169" s="139"/>
      <c r="C169" s="140"/>
      <c r="D169" s="137"/>
      <c r="E169" s="137"/>
      <c r="F169" s="137"/>
      <c r="G169" s="132"/>
      <c r="H169" s="132"/>
      <c r="I169" s="132"/>
      <c r="J169" s="118"/>
      <c r="K169" s="118"/>
      <c r="L169" s="119"/>
    </row>
    <row r="170" spans="2:12" x14ac:dyDescent="0.4">
      <c r="B170" s="139"/>
      <c r="C170" s="140"/>
      <c r="D170" s="137"/>
      <c r="E170" s="137"/>
      <c r="F170" s="137"/>
      <c r="G170" s="132"/>
      <c r="H170" s="132"/>
      <c r="I170" s="132"/>
      <c r="J170" s="118"/>
      <c r="K170" s="118"/>
      <c r="L170" s="119"/>
    </row>
    <row r="171" spans="2:12" x14ac:dyDescent="0.4">
      <c r="B171" s="139"/>
      <c r="C171" s="140"/>
      <c r="D171" s="137"/>
      <c r="E171" s="137"/>
      <c r="F171" s="137"/>
      <c r="G171" s="132"/>
      <c r="H171" s="132"/>
      <c r="I171" s="132"/>
      <c r="J171" s="118"/>
      <c r="K171" s="118"/>
      <c r="L171" s="119"/>
    </row>
    <row r="172" spans="2:12" x14ac:dyDescent="0.4">
      <c r="B172" s="139"/>
      <c r="C172" s="140"/>
      <c r="D172" s="137"/>
      <c r="E172" s="137"/>
      <c r="F172" s="137"/>
      <c r="G172" s="132"/>
      <c r="H172" s="132"/>
      <c r="I172" s="132"/>
      <c r="J172" s="118"/>
      <c r="K172" s="118"/>
      <c r="L172" s="119"/>
    </row>
    <row r="173" spans="2:12" x14ac:dyDescent="0.4">
      <c r="B173" s="139"/>
      <c r="C173" s="140"/>
      <c r="D173" s="137"/>
      <c r="E173" s="137"/>
      <c r="F173" s="137"/>
      <c r="G173" s="132"/>
      <c r="H173" s="132"/>
      <c r="I173" s="132"/>
      <c r="J173" s="118"/>
      <c r="K173" s="118"/>
      <c r="L173" s="119"/>
    </row>
    <row r="174" spans="2:12" x14ac:dyDescent="0.4">
      <c r="B174" s="139"/>
      <c r="C174" s="140"/>
      <c r="D174" s="137"/>
      <c r="E174" s="137"/>
      <c r="F174" s="137"/>
      <c r="G174" s="132"/>
      <c r="H174" s="132"/>
      <c r="I174" s="132"/>
      <c r="J174" s="118"/>
      <c r="K174" s="118"/>
      <c r="L174" s="119"/>
    </row>
    <row r="175" spans="2:12" x14ac:dyDescent="0.4">
      <c r="B175" s="139"/>
      <c r="C175" s="140"/>
      <c r="D175" s="137"/>
      <c r="E175" s="137"/>
      <c r="F175" s="137"/>
      <c r="G175" s="132"/>
      <c r="H175" s="132"/>
      <c r="I175" s="132"/>
      <c r="J175" s="118"/>
      <c r="K175" s="118"/>
      <c r="L175" s="119"/>
    </row>
    <row r="176" spans="2:12" x14ac:dyDescent="0.4">
      <c r="B176" s="139"/>
      <c r="C176" s="140"/>
      <c r="D176" s="137"/>
      <c r="E176" s="137"/>
      <c r="F176" s="137"/>
      <c r="G176" s="132"/>
      <c r="H176" s="132"/>
      <c r="I176" s="132"/>
      <c r="J176" s="118"/>
      <c r="K176" s="118"/>
      <c r="L176" s="119"/>
    </row>
    <row r="177" spans="2:12" x14ac:dyDescent="0.4">
      <c r="B177" s="139"/>
      <c r="C177" s="140"/>
      <c r="D177" s="137"/>
      <c r="E177" s="137"/>
      <c r="F177" s="137"/>
      <c r="G177" s="132"/>
      <c r="H177" s="132"/>
      <c r="I177" s="132"/>
      <c r="J177" s="118"/>
      <c r="K177" s="118"/>
      <c r="L177" s="119"/>
    </row>
    <row r="178" spans="2:12" x14ac:dyDescent="0.4">
      <c r="B178" s="139"/>
      <c r="C178" s="140"/>
      <c r="D178" s="137"/>
      <c r="E178" s="137"/>
      <c r="F178" s="137"/>
      <c r="G178" s="132"/>
      <c r="H178" s="132"/>
      <c r="I178" s="132"/>
      <c r="J178" s="118"/>
      <c r="K178" s="118"/>
      <c r="L178" s="119"/>
    </row>
    <row r="179" spans="2:12" x14ac:dyDescent="0.4">
      <c r="B179" s="139"/>
      <c r="C179" s="140"/>
      <c r="D179" s="137"/>
      <c r="E179" s="137"/>
      <c r="F179" s="137"/>
      <c r="G179" s="132"/>
      <c r="H179" s="132"/>
      <c r="I179" s="132"/>
      <c r="J179" s="118"/>
      <c r="K179" s="118"/>
      <c r="L179" s="119"/>
    </row>
    <row r="180" spans="2:12" x14ac:dyDescent="0.4">
      <c r="B180" s="139"/>
      <c r="C180" s="140"/>
      <c r="D180" s="137"/>
      <c r="E180" s="137"/>
      <c r="F180" s="137"/>
      <c r="G180" s="132"/>
      <c r="H180" s="132"/>
      <c r="I180" s="132"/>
      <c r="J180" s="118"/>
      <c r="K180" s="118"/>
      <c r="L180" s="119"/>
    </row>
    <row r="181" spans="2:12" x14ac:dyDescent="0.4">
      <c r="B181" s="139"/>
      <c r="C181" s="140"/>
      <c r="D181" s="137"/>
      <c r="E181" s="137"/>
      <c r="F181" s="137"/>
      <c r="G181" s="132"/>
      <c r="H181" s="132"/>
      <c r="I181" s="132"/>
      <c r="J181" s="118"/>
      <c r="K181" s="118"/>
      <c r="L181" s="119"/>
    </row>
    <row r="182" spans="2:12" x14ac:dyDescent="0.4">
      <c r="B182" s="139"/>
      <c r="C182" s="140"/>
      <c r="D182" s="137"/>
      <c r="E182" s="137"/>
      <c r="F182" s="137"/>
      <c r="G182" s="132"/>
      <c r="H182" s="132"/>
      <c r="I182" s="132"/>
      <c r="J182" s="118"/>
      <c r="K182" s="118"/>
      <c r="L182" s="119"/>
    </row>
    <row r="183" spans="2:12" x14ac:dyDescent="0.4">
      <c r="B183" s="139"/>
      <c r="C183" s="140"/>
      <c r="D183" s="137"/>
      <c r="E183" s="137"/>
      <c r="F183" s="137"/>
      <c r="G183" s="132"/>
      <c r="H183" s="132"/>
      <c r="I183" s="132"/>
      <c r="J183" s="118"/>
      <c r="K183" s="118"/>
      <c r="L183" s="119"/>
    </row>
    <row r="184" spans="2:12" x14ac:dyDescent="0.4">
      <c r="B184" s="139"/>
      <c r="C184" s="140"/>
      <c r="D184" s="137"/>
      <c r="E184" s="137"/>
      <c r="F184" s="137"/>
      <c r="G184" s="132"/>
      <c r="H184" s="132"/>
      <c r="I184" s="132"/>
      <c r="J184" s="118"/>
      <c r="K184" s="118"/>
      <c r="L184" s="119"/>
    </row>
    <row r="185" spans="2:12" x14ac:dyDescent="0.4">
      <c r="B185" s="139"/>
      <c r="C185" s="140"/>
      <c r="D185" s="137"/>
      <c r="E185" s="137"/>
      <c r="F185" s="137"/>
      <c r="G185" s="132"/>
      <c r="H185" s="132"/>
      <c r="I185" s="132"/>
      <c r="J185" s="118"/>
      <c r="K185" s="118"/>
      <c r="L185" s="119"/>
    </row>
    <row r="186" spans="2:12" x14ac:dyDescent="0.4">
      <c r="B186" s="139"/>
      <c r="C186" s="140"/>
      <c r="D186" s="137"/>
      <c r="E186" s="137"/>
      <c r="F186" s="137"/>
      <c r="G186" s="132"/>
      <c r="H186" s="132"/>
      <c r="I186" s="132"/>
      <c r="J186" s="118"/>
      <c r="K186" s="118"/>
      <c r="L186" s="119"/>
    </row>
    <row r="187" spans="2:12" x14ac:dyDescent="0.4">
      <c r="B187" s="139"/>
      <c r="C187" s="140"/>
      <c r="D187" s="137"/>
      <c r="E187" s="137"/>
      <c r="F187" s="137"/>
      <c r="G187" s="132"/>
      <c r="H187" s="132"/>
      <c r="I187" s="132"/>
      <c r="J187" s="118"/>
      <c r="K187" s="118"/>
      <c r="L187" s="119"/>
    </row>
    <row r="188" spans="2:12" x14ac:dyDescent="0.4">
      <c r="B188" s="139"/>
      <c r="C188" s="140"/>
      <c r="D188" s="137"/>
      <c r="E188" s="137"/>
      <c r="F188" s="137"/>
      <c r="G188" s="132"/>
      <c r="H188" s="132"/>
      <c r="I188" s="132"/>
      <c r="J188" s="118"/>
      <c r="K188" s="118"/>
      <c r="L188" s="119"/>
    </row>
    <row r="189" spans="2:12" x14ac:dyDescent="0.4">
      <c r="B189" s="139"/>
      <c r="C189" s="140"/>
      <c r="D189" s="137"/>
      <c r="E189" s="137"/>
      <c r="F189" s="137"/>
      <c r="G189" s="132"/>
      <c r="H189" s="132"/>
      <c r="I189" s="132"/>
      <c r="J189" s="118"/>
      <c r="K189" s="118"/>
      <c r="L189" s="119"/>
    </row>
    <row r="190" spans="2:12" x14ac:dyDescent="0.4">
      <c r="B190" s="139"/>
      <c r="C190" s="140"/>
      <c r="D190" s="137"/>
      <c r="E190" s="137"/>
      <c r="F190" s="137"/>
      <c r="G190" s="132"/>
      <c r="H190" s="132"/>
      <c r="I190" s="132"/>
      <c r="J190" s="118"/>
      <c r="K190" s="118"/>
      <c r="L190" s="119"/>
    </row>
    <row r="191" spans="2:12" x14ac:dyDescent="0.4">
      <c r="B191" s="139"/>
      <c r="C191" s="140"/>
      <c r="D191" s="137"/>
      <c r="E191" s="137"/>
      <c r="F191" s="137"/>
      <c r="G191" s="132"/>
      <c r="H191" s="132"/>
      <c r="I191" s="132"/>
      <c r="J191" s="118"/>
      <c r="K191" s="118"/>
      <c r="L191" s="119"/>
    </row>
    <row r="192" spans="2:12" x14ac:dyDescent="0.4">
      <c r="B192" s="139"/>
      <c r="C192" s="140"/>
      <c r="D192" s="137"/>
      <c r="E192" s="137"/>
      <c r="F192" s="137"/>
      <c r="G192" s="132"/>
      <c r="H192" s="132"/>
      <c r="I192" s="132"/>
      <c r="J192" s="118"/>
      <c r="K192" s="118"/>
      <c r="L192" s="119"/>
    </row>
    <row r="193" spans="2:12" x14ac:dyDescent="0.4">
      <c r="B193" s="139"/>
      <c r="C193" s="140"/>
      <c r="D193" s="137"/>
      <c r="E193" s="137"/>
      <c r="F193" s="137"/>
      <c r="G193" s="132"/>
      <c r="H193" s="132"/>
      <c r="I193" s="132"/>
      <c r="J193" s="118"/>
      <c r="K193" s="118"/>
      <c r="L193" s="119"/>
    </row>
    <row r="194" spans="2:12" x14ac:dyDescent="0.4">
      <c r="B194" s="139"/>
      <c r="C194" s="140"/>
      <c r="D194" s="137"/>
      <c r="E194" s="137"/>
      <c r="F194" s="137"/>
      <c r="G194" s="132"/>
      <c r="H194" s="132"/>
      <c r="I194" s="132"/>
      <c r="J194" s="118"/>
      <c r="K194" s="118"/>
      <c r="L194" s="119"/>
    </row>
    <row r="195" spans="2:12" x14ac:dyDescent="0.4">
      <c r="B195" s="139"/>
      <c r="C195" s="140"/>
      <c r="D195" s="137"/>
      <c r="E195" s="137"/>
      <c r="F195" s="137"/>
      <c r="G195" s="132"/>
      <c r="H195" s="132"/>
      <c r="I195" s="132"/>
      <c r="J195" s="118"/>
      <c r="K195" s="118"/>
      <c r="L195" s="119"/>
    </row>
    <row r="196" spans="2:12" x14ac:dyDescent="0.4">
      <c r="B196" s="139"/>
      <c r="C196" s="140"/>
      <c r="D196" s="137"/>
      <c r="E196" s="137"/>
      <c r="F196" s="137"/>
      <c r="G196" s="132"/>
      <c r="H196" s="132"/>
      <c r="I196" s="132"/>
      <c r="J196" s="118"/>
      <c r="K196" s="118"/>
      <c r="L196" s="119"/>
    </row>
    <row r="197" spans="2:12" x14ac:dyDescent="0.4">
      <c r="B197" s="139"/>
      <c r="C197" s="140"/>
      <c r="D197" s="137"/>
      <c r="E197" s="137"/>
      <c r="F197" s="137"/>
      <c r="G197" s="132"/>
      <c r="H197" s="132"/>
      <c r="I197" s="132"/>
      <c r="J197" s="118"/>
      <c r="K197" s="118"/>
      <c r="L197" s="119"/>
    </row>
    <row r="198" spans="2:12" x14ac:dyDescent="0.4">
      <c r="B198" s="139"/>
      <c r="C198" s="140"/>
      <c r="D198" s="137"/>
      <c r="E198" s="137"/>
      <c r="F198" s="137"/>
      <c r="G198" s="132"/>
      <c r="H198" s="132"/>
      <c r="I198" s="132"/>
      <c r="J198" s="118"/>
      <c r="K198" s="118"/>
      <c r="L198" s="119"/>
    </row>
    <row r="199" spans="2:12" x14ac:dyDescent="0.4">
      <c r="B199" s="139"/>
      <c r="C199" s="140"/>
      <c r="D199" s="137"/>
      <c r="E199" s="137"/>
      <c r="F199" s="137"/>
      <c r="G199" s="132"/>
      <c r="H199" s="132"/>
      <c r="I199" s="132"/>
      <c r="J199" s="118"/>
      <c r="K199" s="118"/>
      <c r="L199" s="119"/>
    </row>
    <row r="200" spans="2:12" x14ac:dyDescent="0.4">
      <c r="B200" s="139"/>
      <c r="C200" s="140"/>
      <c r="D200" s="137"/>
      <c r="E200" s="137"/>
      <c r="F200" s="137"/>
      <c r="G200" s="132"/>
      <c r="H200" s="132"/>
      <c r="I200" s="132"/>
      <c r="J200" s="118"/>
      <c r="K200" s="118"/>
      <c r="L200" s="119"/>
    </row>
    <row r="201" spans="2:12" x14ac:dyDescent="0.4">
      <c r="B201" s="139"/>
      <c r="C201" s="140"/>
      <c r="D201" s="137"/>
      <c r="E201" s="137"/>
      <c r="F201" s="137"/>
      <c r="G201" s="132"/>
      <c r="H201" s="132"/>
      <c r="I201" s="132"/>
      <c r="J201" s="118"/>
      <c r="K201" s="118"/>
      <c r="L201" s="119"/>
    </row>
    <row r="202" spans="2:12" x14ac:dyDescent="0.4">
      <c r="B202" s="139"/>
      <c r="C202" s="140"/>
      <c r="D202" s="137"/>
      <c r="E202" s="137"/>
      <c r="F202" s="137"/>
      <c r="G202" s="132"/>
      <c r="H202" s="132"/>
      <c r="I202" s="132"/>
      <c r="J202" s="118"/>
      <c r="K202" s="118"/>
      <c r="L202" s="119"/>
    </row>
    <row r="203" spans="2:12" x14ac:dyDescent="0.4">
      <c r="B203" s="139"/>
      <c r="C203" s="140"/>
      <c r="D203" s="137"/>
      <c r="E203" s="137"/>
      <c r="F203" s="137"/>
      <c r="G203" s="132"/>
      <c r="H203" s="132"/>
      <c r="I203" s="132"/>
      <c r="J203" s="118"/>
      <c r="K203" s="118"/>
      <c r="L203" s="119"/>
    </row>
    <row r="204" spans="2:12" x14ac:dyDescent="0.4">
      <c r="B204" s="139"/>
      <c r="C204" s="140"/>
      <c r="D204" s="137"/>
      <c r="E204" s="137"/>
      <c r="F204" s="137"/>
      <c r="G204" s="132"/>
      <c r="H204" s="132"/>
      <c r="I204" s="132"/>
      <c r="J204" s="118"/>
      <c r="K204" s="118"/>
      <c r="L204" s="119"/>
    </row>
    <row r="205" spans="2:12" x14ac:dyDescent="0.4">
      <c r="B205" s="139"/>
      <c r="C205" s="140"/>
      <c r="D205" s="137"/>
      <c r="E205" s="137"/>
      <c r="F205" s="137"/>
      <c r="G205" s="132"/>
      <c r="H205" s="132"/>
      <c r="I205" s="132"/>
      <c r="J205" s="118"/>
      <c r="K205" s="118"/>
      <c r="L205" s="119"/>
    </row>
    <row r="206" spans="2:12" x14ac:dyDescent="0.4">
      <c r="B206" s="139"/>
      <c r="C206" s="140"/>
      <c r="D206" s="137"/>
      <c r="E206" s="137"/>
      <c r="F206" s="137"/>
      <c r="G206" s="132"/>
      <c r="H206" s="132"/>
      <c r="I206" s="132"/>
      <c r="J206" s="118"/>
      <c r="K206" s="118"/>
      <c r="L206" s="119"/>
    </row>
    <row r="207" spans="2:12" x14ac:dyDescent="0.4">
      <c r="B207" s="139"/>
      <c r="C207" s="140"/>
      <c r="D207" s="137"/>
      <c r="E207" s="137"/>
      <c r="F207" s="137"/>
      <c r="G207" s="132"/>
      <c r="H207" s="132"/>
      <c r="I207" s="132"/>
      <c r="J207" s="118"/>
      <c r="K207" s="118"/>
      <c r="L207" s="119"/>
    </row>
    <row r="208" spans="2:12" x14ac:dyDescent="0.4">
      <c r="B208" s="139"/>
      <c r="C208" s="140"/>
      <c r="D208" s="137"/>
      <c r="E208" s="137"/>
      <c r="F208" s="137"/>
      <c r="G208" s="132"/>
      <c r="H208" s="132"/>
      <c r="I208" s="132"/>
      <c r="J208" s="118"/>
      <c r="K208" s="118"/>
      <c r="L208" s="119"/>
    </row>
    <row r="209" spans="2:12" x14ac:dyDescent="0.4">
      <c r="B209" s="139"/>
      <c r="C209" s="140"/>
      <c r="D209" s="137"/>
      <c r="E209" s="137"/>
      <c r="F209" s="137"/>
      <c r="G209" s="132"/>
      <c r="H209" s="132"/>
      <c r="I209" s="132"/>
      <c r="J209" s="118"/>
      <c r="K209" s="118"/>
      <c r="L209" s="119"/>
    </row>
    <row r="210" spans="2:12" x14ac:dyDescent="0.4">
      <c r="B210" s="139"/>
      <c r="C210" s="140"/>
      <c r="D210" s="137"/>
      <c r="E210" s="137"/>
      <c r="F210" s="137"/>
      <c r="G210" s="132"/>
      <c r="H210" s="132"/>
      <c r="I210" s="132"/>
      <c r="J210" s="118"/>
      <c r="K210" s="118"/>
      <c r="L210" s="119"/>
    </row>
    <row r="211" spans="2:12" x14ac:dyDescent="0.4">
      <c r="B211" s="139"/>
      <c r="C211" s="140"/>
      <c r="D211" s="137"/>
      <c r="E211" s="137"/>
      <c r="F211" s="137"/>
      <c r="G211" s="132"/>
      <c r="H211" s="132"/>
      <c r="I211" s="132"/>
      <c r="J211" s="118"/>
      <c r="K211" s="118"/>
      <c r="L211" s="119"/>
    </row>
    <row r="212" spans="2:12" x14ac:dyDescent="0.4">
      <c r="B212" s="139"/>
      <c r="C212" s="140"/>
      <c r="D212" s="137"/>
      <c r="E212" s="137"/>
      <c r="F212" s="137"/>
      <c r="G212" s="132"/>
      <c r="H212" s="132"/>
      <c r="I212" s="132"/>
      <c r="J212" s="118"/>
      <c r="K212" s="118"/>
      <c r="L212" s="119"/>
    </row>
    <row r="213" spans="2:12" x14ac:dyDescent="0.4">
      <c r="B213" s="139"/>
      <c r="C213" s="140"/>
      <c r="D213" s="137"/>
      <c r="E213" s="137"/>
      <c r="F213" s="137"/>
      <c r="G213" s="132"/>
      <c r="H213" s="132"/>
      <c r="I213" s="132"/>
      <c r="J213" s="118"/>
      <c r="K213" s="118"/>
      <c r="L213" s="119"/>
    </row>
    <row r="214" spans="2:12" x14ac:dyDescent="0.4">
      <c r="B214" s="139"/>
      <c r="C214" s="140"/>
      <c r="D214" s="137"/>
      <c r="E214" s="137"/>
      <c r="F214" s="137"/>
      <c r="G214" s="132"/>
      <c r="H214" s="132"/>
      <c r="I214" s="132"/>
      <c r="J214" s="118"/>
      <c r="K214" s="118"/>
      <c r="L214" s="119"/>
    </row>
    <row r="215" spans="2:12" x14ac:dyDescent="0.4">
      <c r="B215" s="139"/>
      <c r="C215" s="140"/>
      <c r="D215" s="137"/>
      <c r="E215" s="137"/>
      <c r="F215" s="137"/>
      <c r="G215" s="132"/>
      <c r="H215" s="132"/>
      <c r="I215" s="132"/>
      <c r="J215" s="118"/>
      <c r="K215" s="118"/>
      <c r="L215" s="119"/>
    </row>
    <row r="216" spans="2:12" x14ac:dyDescent="0.4">
      <c r="B216" s="139"/>
      <c r="C216" s="140"/>
      <c r="D216" s="137"/>
      <c r="E216" s="137"/>
      <c r="F216" s="137"/>
      <c r="G216" s="132"/>
      <c r="H216" s="132"/>
      <c r="I216" s="132"/>
      <c r="J216" s="118"/>
      <c r="K216" s="118"/>
      <c r="L216" s="119"/>
    </row>
    <row r="217" spans="2:12" x14ac:dyDescent="0.4">
      <c r="B217" s="139"/>
      <c r="C217" s="140"/>
      <c r="D217" s="137"/>
      <c r="E217" s="137"/>
      <c r="F217" s="137"/>
      <c r="G217" s="132"/>
      <c r="H217" s="132"/>
      <c r="I217" s="132"/>
      <c r="J217" s="118"/>
      <c r="K217" s="118"/>
      <c r="L217" s="119"/>
    </row>
    <row r="218" spans="2:12" x14ac:dyDescent="0.4">
      <c r="B218" s="139"/>
      <c r="C218" s="140"/>
      <c r="D218" s="137"/>
      <c r="E218" s="137"/>
      <c r="F218" s="137"/>
      <c r="G218" s="132"/>
      <c r="H218" s="132"/>
      <c r="I218" s="132"/>
      <c r="J218" s="118"/>
      <c r="K218" s="118"/>
      <c r="L218" s="119"/>
    </row>
    <row r="219" spans="2:12" x14ac:dyDescent="0.4">
      <c r="B219" s="139"/>
      <c r="C219" s="140"/>
      <c r="D219" s="137"/>
      <c r="E219" s="137"/>
      <c r="F219" s="137"/>
      <c r="G219" s="132"/>
      <c r="H219" s="132"/>
      <c r="I219" s="132"/>
      <c r="J219" s="118"/>
      <c r="K219" s="118"/>
      <c r="L219" s="119"/>
    </row>
    <row r="220" spans="2:12" x14ac:dyDescent="0.4">
      <c r="B220" s="139"/>
      <c r="C220" s="140"/>
      <c r="D220" s="137"/>
      <c r="E220" s="137"/>
      <c r="F220" s="137"/>
      <c r="G220" s="132"/>
      <c r="H220" s="132"/>
      <c r="I220" s="132"/>
      <c r="J220" s="118"/>
      <c r="K220" s="118"/>
      <c r="L220" s="119"/>
    </row>
    <row r="221" spans="2:12" x14ac:dyDescent="0.4">
      <c r="B221" s="139"/>
      <c r="C221" s="140"/>
      <c r="D221" s="137"/>
      <c r="E221" s="137"/>
      <c r="F221" s="137"/>
      <c r="G221" s="132"/>
      <c r="H221" s="132"/>
      <c r="I221" s="132"/>
      <c r="J221" s="118"/>
      <c r="K221" s="118"/>
      <c r="L221" s="119"/>
    </row>
    <row r="222" spans="2:12" x14ac:dyDescent="0.4">
      <c r="B222" s="139"/>
      <c r="C222" s="140"/>
      <c r="D222" s="137"/>
      <c r="E222" s="137"/>
      <c r="F222" s="137"/>
      <c r="G222" s="132"/>
      <c r="H222" s="132"/>
      <c r="I222" s="132"/>
      <c r="J222" s="118"/>
      <c r="K222" s="118"/>
      <c r="L222" s="119"/>
    </row>
    <row r="223" spans="2:12" x14ac:dyDescent="0.4">
      <c r="B223" s="139"/>
      <c r="C223" s="140"/>
      <c r="D223" s="137"/>
      <c r="E223" s="137"/>
      <c r="F223" s="137"/>
      <c r="G223" s="132"/>
      <c r="H223" s="132"/>
      <c r="I223" s="132"/>
      <c r="J223" s="118"/>
      <c r="K223" s="118"/>
      <c r="L223" s="119"/>
    </row>
    <row r="224" spans="2:12" x14ac:dyDescent="0.4">
      <c r="B224" s="139"/>
      <c r="C224" s="140"/>
      <c r="D224" s="137"/>
      <c r="E224" s="137"/>
      <c r="F224" s="137"/>
      <c r="G224" s="132"/>
      <c r="H224" s="132"/>
      <c r="I224" s="132"/>
      <c r="J224" s="118"/>
      <c r="K224" s="118"/>
      <c r="L224" s="119"/>
    </row>
    <row r="225" spans="2:12" x14ac:dyDescent="0.4">
      <c r="B225" s="139"/>
      <c r="C225" s="140"/>
      <c r="D225" s="137"/>
      <c r="E225" s="137"/>
      <c r="F225" s="137"/>
      <c r="G225" s="132"/>
      <c r="H225" s="132"/>
      <c r="I225" s="132"/>
      <c r="J225" s="118"/>
      <c r="K225" s="118"/>
      <c r="L225" s="119"/>
    </row>
    <row r="226" spans="2:12" x14ac:dyDescent="0.4">
      <c r="B226" s="139"/>
      <c r="C226" s="140"/>
      <c r="D226" s="137"/>
      <c r="E226" s="137"/>
      <c r="F226" s="137"/>
      <c r="G226" s="132"/>
      <c r="H226" s="132"/>
      <c r="I226" s="132"/>
      <c r="J226" s="118"/>
      <c r="K226" s="118"/>
      <c r="L226" s="119"/>
    </row>
    <row r="227" spans="2:12" x14ac:dyDescent="0.4">
      <c r="B227" s="139"/>
      <c r="C227" s="140"/>
      <c r="D227" s="137"/>
      <c r="E227" s="137"/>
      <c r="F227" s="137"/>
      <c r="G227" s="132"/>
      <c r="H227" s="132"/>
      <c r="I227" s="132"/>
      <c r="J227" s="118"/>
      <c r="K227" s="118"/>
      <c r="L227" s="119"/>
    </row>
    <row r="228" spans="2:12" x14ac:dyDescent="0.4">
      <c r="B228" s="139"/>
      <c r="C228" s="140"/>
      <c r="D228" s="137"/>
      <c r="E228" s="137"/>
      <c r="F228" s="137"/>
      <c r="G228" s="132"/>
      <c r="H228" s="132"/>
      <c r="I228" s="132"/>
      <c r="J228" s="118"/>
      <c r="K228" s="118"/>
      <c r="L228" s="119"/>
    </row>
    <row r="229" spans="2:12" x14ac:dyDescent="0.4">
      <c r="B229" s="139"/>
      <c r="C229" s="140"/>
      <c r="D229" s="137"/>
      <c r="E229" s="137"/>
      <c r="F229" s="137"/>
      <c r="G229" s="132"/>
      <c r="H229" s="132"/>
      <c r="I229" s="132"/>
      <c r="J229" s="118"/>
      <c r="K229" s="118"/>
      <c r="L229" s="119"/>
    </row>
    <row r="230" spans="2:12" x14ac:dyDescent="0.4">
      <c r="B230" s="139"/>
      <c r="C230" s="140"/>
      <c r="D230" s="137"/>
      <c r="E230" s="137"/>
      <c r="F230" s="137"/>
      <c r="G230" s="132"/>
      <c r="H230" s="132"/>
      <c r="I230" s="132"/>
      <c r="J230" s="118"/>
      <c r="K230" s="118"/>
      <c r="L230" s="119"/>
    </row>
    <row r="231" spans="2:12" x14ac:dyDescent="0.4">
      <c r="B231" s="139"/>
      <c r="C231" s="140"/>
      <c r="D231" s="137"/>
      <c r="E231" s="137"/>
      <c r="F231" s="137"/>
      <c r="G231" s="132"/>
      <c r="H231" s="132"/>
      <c r="I231" s="132"/>
      <c r="J231" s="118"/>
      <c r="K231" s="118"/>
      <c r="L231" s="119"/>
    </row>
    <row r="232" spans="2:12" x14ac:dyDescent="0.4">
      <c r="B232" s="139"/>
      <c r="C232" s="140"/>
      <c r="D232" s="137"/>
      <c r="E232" s="137"/>
      <c r="F232" s="137"/>
      <c r="G232" s="132"/>
      <c r="H232" s="132"/>
      <c r="I232" s="132"/>
      <c r="J232" s="118"/>
      <c r="K232" s="118"/>
      <c r="L232" s="119"/>
    </row>
    <row r="233" spans="2:12" x14ac:dyDescent="0.4">
      <c r="B233" s="139"/>
      <c r="C233" s="140"/>
      <c r="D233" s="137"/>
      <c r="E233" s="137"/>
      <c r="F233" s="137"/>
      <c r="G233" s="132"/>
      <c r="H233" s="132"/>
      <c r="I233" s="132"/>
      <c r="J233" s="118"/>
      <c r="K233" s="118"/>
      <c r="L233" s="119"/>
    </row>
    <row r="234" spans="2:12" x14ac:dyDescent="0.4">
      <c r="B234" s="139"/>
      <c r="C234" s="140"/>
      <c r="D234" s="137"/>
      <c r="E234" s="137"/>
      <c r="F234" s="137"/>
      <c r="G234" s="132"/>
      <c r="H234" s="132"/>
      <c r="I234" s="132"/>
      <c r="J234" s="118"/>
      <c r="K234" s="118"/>
      <c r="L234" s="119"/>
    </row>
    <row r="235" spans="2:12" x14ac:dyDescent="0.4">
      <c r="B235" s="139"/>
      <c r="C235" s="140"/>
      <c r="D235" s="137"/>
      <c r="E235" s="137"/>
      <c r="F235" s="137"/>
      <c r="G235" s="132"/>
      <c r="H235" s="132"/>
      <c r="I235" s="132"/>
      <c r="J235" s="118"/>
      <c r="K235" s="118"/>
      <c r="L235" s="119"/>
    </row>
    <row r="236" spans="2:12" x14ac:dyDescent="0.4">
      <c r="B236" s="139"/>
      <c r="C236" s="140"/>
      <c r="D236" s="137"/>
      <c r="E236" s="137"/>
      <c r="F236" s="137"/>
      <c r="G236" s="132"/>
      <c r="H236" s="132"/>
      <c r="I236" s="132"/>
      <c r="J236" s="118"/>
      <c r="K236" s="118"/>
      <c r="L236" s="119"/>
    </row>
    <row r="237" spans="2:12" x14ac:dyDescent="0.4">
      <c r="B237" s="139"/>
      <c r="C237" s="140"/>
      <c r="D237" s="137"/>
      <c r="E237" s="137"/>
      <c r="F237" s="137"/>
      <c r="G237" s="132"/>
      <c r="H237" s="132"/>
      <c r="I237" s="132"/>
      <c r="J237" s="118"/>
      <c r="K237" s="118"/>
      <c r="L237" s="119"/>
    </row>
    <row r="238" spans="2:12" x14ac:dyDescent="0.4">
      <c r="B238" s="139"/>
      <c r="C238" s="140"/>
      <c r="D238" s="137"/>
      <c r="E238" s="137"/>
      <c r="F238" s="137"/>
      <c r="G238" s="132"/>
      <c r="H238" s="132"/>
      <c r="I238" s="132"/>
      <c r="J238" s="118"/>
      <c r="K238" s="118"/>
      <c r="L238" s="119"/>
    </row>
    <row r="239" spans="2:12" x14ac:dyDescent="0.4">
      <c r="B239" s="139"/>
      <c r="C239" s="140"/>
      <c r="D239" s="137"/>
      <c r="E239" s="137"/>
      <c r="F239" s="137"/>
      <c r="G239" s="132"/>
      <c r="H239" s="132"/>
      <c r="I239" s="132"/>
      <c r="J239" s="118"/>
      <c r="K239" s="118"/>
      <c r="L239" s="119"/>
    </row>
    <row r="240" spans="2:12" x14ac:dyDescent="0.4">
      <c r="B240" s="139"/>
      <c r="C240" s="140"/>
      <c r="D240" s="137"/>
      <c r="E240" s="137"/>
      <c r="F240" s="137"/>
      <c r="G240" s="132"/>
      <c r="H240" s="132"/>
      <c r="I240" s="132"/>
      <c r="J240" s="118"/>
      <c r="K240" s="118"/>
      <c r="L240" s="119"/>
    </row>
    <row r="241" spans="2:12" x14ac:dyDescent="0.4">
      <c r="B241" s="139"/>
      <c r="C241" s="140"/>
      <c r="D241" s="137"/>
      <c r="E241" s="137"/>
      <c r="F241" s="137"/>
      <c r="G241" s="132"/>
      <c r="H241" s="132"/>
      <c r="I241" s="132"/>
      <c r="J241" s="118"/>
      <c r="K241" s="118"/>
      <c r="L241" s="119"/>
    </row>
    <row r="242" spans="2:12" x14ac:dyDescent="0.4">
      <c r="B242" s="139"/>
      <c r="C242" s="140"/>
      <c r="D242" s="137"/>
      <c r="E242" s="137"/>
      <c r="F242" s="137"/>
      <c r="G242" s="132"/>
      <c r="H242" s="132"/>
      <c r="I242" s="132"/>
      <c r="J242" s="118"/>
      <c r="K242" s="118"/>
      <c r="L242" s="119"/>
    </row>
    <row r="243" spans="2:12" x14ac:dyDescent="0.4">
      <c r="B243" s="139"/>
      <c r="C243" s="140"/>
      <c r="D243" s="137"/>
      <c r="E243" s="137"/>
      <c r="F243" s="137"/>
      <c r="G243" s="132"/>
      <c r="H243" s="132"/>
      <c r="I243" s="132"/>
      <c r="J243" s="118"/>
      <c r="K243" s="118"/>
      <c r="L243" s="119"/>
    </row>
    <row r="244" spans="2:12" x14ac:dyDescent="0.4">
      <c r="B244" s="139"/>
      <c r="C244" s="140"/>
      <c r="D244" s="137"/>
      <c r="E244" s="137"/>
      <c r="F244" s="137"/>
      <c r="G244" s="132"/>
      <c r="H244" s="132"/>
      <c r="I244" s="132"/>
      <c r="J244" s="118"/>
      <c r="K244" s="118"/>
      <c r="L244" s="119"/>
    </row>
    <row r="245" spans="2:12" x14ac:dyDescent="0.4">
      <c r="B245" s="139"/>
      <c r="C245" s="140"/>
      <c r="D245" s="137"/>
      <c r="E245" s="137"/>
      <c r="F245" s="137"/>
      <c r="G245" s="132"/>
      <c r="H245" s="132"/>
      <c r="I245" s="132"/>
      <c r="J245" s="118"/>
      <c r="K245" s="118"/>
      <c r="L245" s="119"/>
    </row>
    <row r="246" spans="2:12" x14ac:dyDescent="0.4">
      <c r="B246" s="139"/>
      <c r="C246" s="140"/>
      <c r="D246" s="137"/>
      <c r="E246" s="137"/>
      <c r="F246" s="137"/>
      <c r="G246" s="132"/>
      <c r="H246" s="132"/>
      <c r="I246" s="132"/>
      <c r="J246" s="118"/>
      <c r="K246" s="118"/>
      <c r="L246" s="119"/>
    </row>
    <row r="247" spans="2:12" x14ac:dyDescent="0.4">
      <c r="B247" s="139"/>
      <c r="C247" s="140"/>
      <c r="D247" s="137"/>
      <c r="E247" s="137"/>
      <c r="F247" s="137"/>
      <c r="G247" s="132"/>
      <c r="H247" s="132"/>
      <c r="I247" s="132"/>
      <c r="J247" s="118"/>
      <c r="K247" s="118"/>
      <c r="L247" s="119"/>
    </row>
    <row r="248" spans="2:12" x14ac:dyDescent="0.4">
      <c r="B248" s="139"/>
      <c r="C248" s="140"/>
      <c r="D248" s="137"/>
      <c r="E248" s="137"/>
      <c r="F248" s="137"/>
      <c r="G248" s="132"/>
      <c r="H248" s="132"/>
      <c r="I248" s="132"/>
      <c r="J248" s="118"/>
      <c r="K248" s="118"/>
      <c r="L248" s="119"/>
    </row>
    <row r="249" spans="2:12" x14ac:dyDescent="0.4">
      <c r="B249" s="139"/>
      <c r="C249" s="140"/>
      <c r="D249" s="137"/>
      <c r="E249" s="137"/>
      <c r="F249" s="137"/>
      <c r="G249" s="132"/>
      <c r="H249" s="132"/>
      <c r="I249" s="132"/>
      <c r="J249" s="118"/>
      <c r="K249" s="118"/>
      <c r="L249" s="119"/>
    </row>
    <row r="250" spans="2:12" x14ac:dyDescent="0.4">
      <c r="B250" s="139"/>
      <c r="C250" s="140"/>
      <c r="D250" s="137"/>
      <c r="E250" s="137"/>
      <c r="F250" s="137"/>
      <c r="G250" s="132"/>
      <c r="H250" s="132"/>
      <c r="I250" s="132"/>
      <c r="J250" s="118"/>
      <c r="K250" s="118"/>
      <c r="L250" s="119"/>
    </row>
    <row r="251" spans="2:12" x14ac:dyDescent="0.4">
      <c r="B251" s="139"/>
      <c r="C251" s="140"/>
      <c r="D251" s="137"/>
      <c r="E251" s="137"/>
      <c r="F251" s="137"/>
      <c r="G251" s="132"/>
      <c r="H251" s="132"/>
      <c r="I251" s="132"/>
      <c r="J251" s="118"/>
      <c r="K251" s="118"/>
      <c r="L251" s="119"/>
    </row>
    <row r="252" spans="2:12" x14ac:dyDescent="0.4">
      <c r="B252" s="139"/>
      <c r="C252" s="140"/>
      <c r="D252" s="137"/>
      <c r="E252" s="137"/>
      <c r="F252" s="137"/>
      <c r="G252" s="132"/>
      <c r="H252" s="132"/>
      <c r="I252" s="132"/>
      <c r="J252" s="118"/>
      <c r="K252" s="118"/>
      <c r="L252" s="119"/>
    </row>
    <row r="253" spans="2:12" x14ac:dyDescent="0.4">
      <c r="B253" s="139"/>
      <c r="C253" s="140"/>
      <c r="D253" s="137"/>
      <c r="E253" s="137"/>
      <c r="F253" s="137"/>
      <c r="G253" s="132"/>
      <c r="H253" s="132"/>
      <c r="I253" s="132"/>
      <c r="J253" s="118"/>
      <c r="K253" s="118"/>
      <c r="L253" s="119"/>
    </row>
    <row r="254" spans="2:12" x14ac:dyDescent="0.4">
      <c r="B254" s="139"/>
      <c r="C254" s="140"/>
      <c r="D254" s="137"/>
      <c r="E254" s="137"/>
      <c r="F254" s="137"/>
      <c r="G254" s="132"/>
      <c r="H254" s="132"/>
      <c r="I254" s="132"/>
      <c r="J254" s="118"/>
      <c r="K254" s="118"/>
      <c r="L254" s="119"/>
    </row>
    <row r="255" spans="2:12" x14ac:dyDescent="0.4">
      <c r="B255" s="139"/>
      <c r="C255" s="140"/>
      <c r="D255" s="137"/>
      <c r="E255" s="137"/>
      <c r="F255" s="137"/>
      <c r="G255" s="132"/>
      <c r="H255" s="132"/>
      <c r="I255" s="132"/>
      <c r="J255" s="118"/>
      <c r="K255" s="118"/>
      <c r="L255" s="119"/>
    </row>
    <row r="256" spans="2:12" x14ac:dyDescent="0.4">
      <c r="B256" s="139"/>
      <c r="C256" s="140"/>
      <c r="D256" s="137"/>
      <c r="E256" s="137"/>
      <c r="F256" s="137"/>
      <c r="G256" s="132"/>
      <c r="H256" s="132"/>
      <c r="I256" s="132"/>
      <c r="J256" s="118"/>
      <c r="K256" s="118"/>
      <c r="L256" s="119"/>
    </row>
    <row r="257" spans="2:12" x14ac:dyDescent="0.4">
      <c r="B257" s="139"/>
      <c r="C257" s="140"/>
      <c r="D257" s="137"/>
      <c r="E257" s="137"/>
      <c r="F257" s="137"/>
      <c r="G257" s="132"/>
      <c r="H257" s="132"/>
      <c r="I257" s="132"/>
      <c r="J257" s="118"/>
      <c r="K257" s="118"/>
      <c r="L257" s="119"/>
    </row>
    <row r="258" spans="2:12" x14ac:dyDescent="0.4">
      <c r="B258" s="139"/>
      <c r="C258" s="140"/>
      <c r="D258" s="137"/>
      <c r="E258" s="137"/>
      <c r="F258" s="137"/>
      <c r="G258" s="132"/>
      <c r="H258" s="132"/>
      <c r="I258" s="132"/>
      <c r="J258" s="118"/>
      <c r="K258" s="118"/>
      <c r="L258" s="119"/>
    </row>
    <row r="259" spans="2:12" x14ac:dyDescent="0.4">
      <c r="B259" s="139"/>
      <c r="C259" s="140"/>
      <c r="D259" s="137"/>
      <c r="E259" s="137"/>
      <c r="F259" s="137"/>
      <c r="G259" s="132"/>
      <c r="H259" s="132"/>
      <c r="I259" s="132"/>
      <c r="J259" s="118"/>
      <c r="K259" s="118"/>
      <c r="L259" s="119"/>
    </row>
    <row r="260" spans="2:12" ht="13.5" thickBot="1" x14ac:dyDescent="0.45">
      <c r="B260" s="141"/>
      <c r="C260" s="142"/>
      <c r="D260" s="138"/>
      <c r="E260" s="138"/>
      <c r="F260" s="138"/>
      <c r="G260" s="133"/>
      <c r="H260" s="133"/>
      <c r="I260" s="133"/>
      <c r="J260" s="120"/>
      <c r="K260" s="120"/>
      <c r="L260" s="121"/>
    </row>
  </sheetData>
  <mergeCells count="1019">
    <mergeCell ref="O3:P3"/>
    <mergeCell ref="B11:C11"/>
    <mergeCell ref="B12:C12"/>
    <mergeCell ref="B13:C13"/>
    <mergeCell ref="B14:C14"/>
    <mergeCell ref="B15:C15"/>
    <mergeCell ref="B16:C16"/>
    <mergeCell ref="B10:C10"/>
    <mergeCell ref="D10:F10"/>
    <mergeCell ref="G10:I10"/>
    <mergeCell ref="J10:L10"/>
    <mergeCell ref="J2:L2"/>
    <mergeCell ref="B2:D2"/>
    <mergeCell ref="C3:D3"/>
    <mergeCell ref="B5:D5"/>
    <mergeCell ref="D6:D7"/>
    <mergeCell ref="F5:H5"/>
    <mergeCell ref="H6:H7"/>
    <mergeCell ref="F2:H2"/>
    <mergeCell ref="N2:P2"/>
    <mergeCell ref="J5:L5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237:C237"/>
    <mergeCell ref="B238:C238"/>
    <mergeCell ref="B227:C227"/>
    <mergeCell ref="B228:C228"/>
    <mergeCell ref="B229:C229"/>
    <mergeCell ref="B230:C230"/>
    <mergeCell ref="B231:C231"/>
    <mergeCell ref="B232:C232"/>
    <mergeCell ref="B221:C221"/>
    <mergeCell ref="B222:C222"/>
    <mergeCell ref="B223:C223"/>
    <mergeCell ref="B224:C224"/>
    <mergeCell ref="B225:C225"/>
    <mergeCell ref="B226:C226"/>
    <mergeCell ref="B215:C215"/>
    <mergeCell ref="B216:C216"/>
    <mergeCell ref="B217:C217"/>
    <mergeCell ref="B218:C218"/>
    <mergeCell ref="B219:C219"/>
    <mergeCell ref="B220:C220"/>
    <mergeCell ref="B257:C257"/>
    <mergeCell ref="B258:C258"/>
    <mergeCell ref="B259:C259"/>
    <mergeCell ref="B260:C260"/>
    <mergeCell ref="D11:F11"/>
    <mergeCell ref="D12:F12"/>
    <mergeCell ref="D13:F13"/>
    <mergeCell ref="D14:F14"/>
    <mergeCell ref="D15:F15"/>
    <mergeCell ref="D16:F16"/>
    <mergeCell ref="B251:C251"/>
    <mergeCell ref="B252:C252"/>
    <mergeCell ref="B253:C253"/>
    <mergeCell ref="B254:C254"/>
    <mergeCell ref="B255:C255"/>
    <mergeCell ref="B256:C256"/>
    <mergeCell ref="B245:C245"/>
    <mergeCell ref="B246:C246"/>
    <mergeCell ref="B247:C247"/>
    <mergeCell ref="B248:C248"/>
    <mergeCell ref="B249:C249"/>
    <mergeCell ref="B250:C250"/>
    <mergeCell ref="B239:C239"/>
    <mergeCell ref="B240:C240"/>
    <mergeCell ref="B241:C241"/>
    <mergeCell ref="B242:C242"/>
    <mergeCell ref="B243:C243"/>
    <mergeCell ref="B244:C244"/>
    <mergeCell ref="B233:C233"/>
    <mergeCell ref="B234:C234"/>
    <mergeCell ref="B235:C235"/>
    <mergeCell ref="B236:C236"/>
    <mergeCell ref="D29:F29"/>
    <mergeCell ref="D30:F30"/>
    <mergeCell ref="D31:F31"/>
    <mergeCell ref="D32:F32"/>
    <mergeCell ref="D33:F33"/>
    <mergeCell ref="D34:F34"/>
    <mergeCell ref="D23:F23"/>
    <mergeCell ref="D24:F24"/>
    <mergeCell ref="D25:F25"/>
    <mergeCell ref="D26:F26"/>
    <mergeCell ref="D27:F27"/>
    <mergeCell ref="D28:F28"/>
    <mergeCell ref="D17:F17"/>
    <mergeCell ref="D18:F18"/>
    <mergeCell ref="D19:F19"/>
    <mergeCell ref="D20:F20"/>
    <mergeCell ref="D21:F21"/>
    <mergeCell ref="D22:F22"/>
    <mergeCell ref="D47:F47"/>
    <mergeCell ref="D48:F48"/>
    <mergeCell ref="D49:F49"/>
    <mergeCell ref="D50:F50"/>
    <mergeCell ref="D51:F51"/>
    <mergeCell ref="D52:F52"/>
    <mergeCell ref="D41:F41"/>
    <mergeCell ref="D42:F42"/>
    <mergeCell ref="D43:F43"/>
    <mergeCell ref="D44:F44"/>
    <mergeCell ref="D45:F45"/>
    <mergeCell ref="D46:F46"/>
    <mergeCell ref="D35:F35"/>
    <mergeCell ref="D36:F36"/>
    <mergeCell ref="D37:F37"/>
    <mergeCell ref="D38:F38"/>
    <mergeCell ref="D39:F39"/>
    <mergeCell ref="D40:F40"/>
    <mergeCell ref="D65:F65"/>
    <mergeCell ref="D66:F66"/>
    <mergeCell ref="D67:F67"/>
    <mergeCell ref="D68:F68"/>
    <mergeCell ref="D69:F69"/>
    <mergeCell ref="D70:F70"/>
    <mergeCell ref="D59:F59"/>
    <mergeCell ref="D60:F60"/>
    <mergeCell ref="D61:F61"/>
    <mergeCell ref="D62:F62"/>
    <mergeCell ref="D63:F63"/>
    <mergeCell ref="D64:F64"/>
    <mergeCell ref="D53:F53"/>
    <mergeCell ref="D54:F54"/>
    <mergeCell ref="D55:F55"/>
    <mergeCell ref="D56:F56"/>
    <mergeCell ref="D57:F57"/>
    <mergeCell ref="D58:F58"/>
    <mergeCell ref="D83:F83"/>
    <mergeCell ref="D84:F84"/>
    <mergeCell ref="D85:F85"/>
    <mergeCell ref="D86:F86"/>
    <mergeCell ref="D87:F87"/>
    <mergeCell ref="D88:F88"/>
    <mergeCell ref="D77:F77"/>
    <mergeCell ref="D78:F78"/>
    <mergeCell ref="D79:F79"/>
    <mergeCell ref="D80:F80"/>
    <mergeCell ref="D81:F81"/>
    <mergeCell ref="D82:F82"/>
    <mergeCell ref="D71:F71"/>
    <mergeCell ref="D72:F72"/>
    <mergeCell ref="D73:F73"/>
    <mergeCell ref="D74:F74"/>
    <mergeCell ref="D75:F75"/>
    <mergeCell ref="D76:F76"/>
    <mergeCell ref="D101:F101"/>
    <mergeCell ref="D102:F102"/>
    <mergeCell ref="D103:F103"/>
    <mergeCell ref="D104:F104"/>
    <mergeCell ref="D105:F105"/>
    <mergeCell ref="D106:F106"/>
    <mergeCell ref="D95:F95"/>
    <mergeCell ref="D96:F96"/>
    <mergeCell ref="D97:F97"/>
    <mergeCell ref="D98:F98"/>
    <mergeCell ref="D99:F99"/>
    <mergeCell ref="D100:F100"/>
    <mergeCell ref="D89:F89"/>
    <mergeCell ref="D90:F90"/>
    <mergeCell ref="D91:F91"/>
    <mergeCell ref="D92:F92"/>
    <mergeCell ref="D93:F93"/>
    <mergeCell ref="D94:F94"/>
    <mergeCell ref="D119:F119"/>
    <mergeCell ref="D120:F120"/>
    <mergeCell ref="D121:F121"/>
    <mergeCell ref="D122:F122"/>
    <mergeCell ref="D123:F123"/>
    <mergeCell ref="D124:F124"/>
    <mergeCell ref="D113:F113"/>
    <mergeCell ref="D114:F114"/>
    <mergeCell ref="D115:F115"/>
    <mergeCell ref="D116:F116"/>
    <mergeCell ref="D117:F117"/>
    <mergeCell ref="D118:F118"/>
    <mergeCell ref="D107:F107"/>
    <mergeCell ref="D108:F108"/>
    <mergeCell ref="D109:F109"/>
    <mergeCell ref="D110:F110"/>
    <mergeCell ref="D111:F111"/>
    <mergeCell ref="D112:F112"/>
    <mergeCell ref="D137:F137"/>
    <mergeCell ref="D138:F138"/>
    <mergeCell ref="D139:F139"/>
    <mergeCell ref="D140:F140"/>
    <mergeCell ref="D141:F141"/>
    <mergeCell ref="D142:F142"/>
    <mergeCell ref="D131:F131"/>
    <mergeCell ref="D132:F132"/>
    <mergeCell ref="D133:F133"/>
    <mergeCell ref="D134:F134"/>
    <mergeCell ref="D135:F135"/>
    <mergeCell ref="D136:F136"/>
    <mergeCell ref="D125:F125"/>
    <mergeCell ref="D126:F126"/>
    <mergeCell ref="D127:F127"/>
    <mergeCell ref="D128:F128"/>
    <mergeCell ref="D129:F129"/>
    <mergeCell ref="D130:F130"/>
    <mergeCell ref="D155:F155"/>
    <mergeCell ref="D156:F156"/>
    <mergeCell ref="D157:F157"/>
    <mergeCell ref="D158:F158"/>
    <mergeCell ref="D159:F159"/>
    <mergeCell ref="D160:F160"/>
    <mergeCell ref="D149:F149"/>
    <mergeCell ref="D150:F150"/>
    <mergeCell ref="D151:F151"/>
    <mergeCell ref="D152:F152"/>
    <mergeCell ref="D153:F153"/>
    <mergeCell ref="D154:F154"/>
    <mergeCell ref="D143:F143"/>
    <mergeCell ref="D144:F144"/>
    <mergeCell ref="D145:F145"/>
    <mergeCell ref="D146:F146"/>
    <mergeCell ref="D147:F147"/>
    <mergeCell ref="D148:F148"/>
    <mergeCell ref="D173:F173"/>
    <mergeCell ref="D174:F174"/>
    <mergeCell ref="D175:F175"/>
    <mergeCell ref="D176:F176"/>
    <mergeCell ref="D177:F177"/>
    <mergeCell ref="D178:F178"/>
    <mergeCell ref="D167:F167"/>
    <mergeCell ref="D168:F168"/>
    <mergeCell ref="D169:F169"/>
    <mergeCell ref="D170:F170"/>
    <mergeCell ref="D171:F171"/>
    <mergeCell ref="D172:F172"/>
    <mergeCell ref="D161:F161"/>
    <mergeCell ref="D162:F162"/>
    <mergeCell ref="D163:F163"/>
    <mergeCell ref="D164:F164"/>
    <mergeCell ref="D165:F165"/>
    <mergeCell ref="D166:F166"/>
    <mergeCell ref="D191:F191"/>
    <mergeCell ref="D192:F192"/>
    <mergeCell ref="D193:F193"/>
    <mergeCell ref="D194:F194"/>
    <mergeCell ref="D195:F195"/>
    <mergeCell ref="D196:F196"/>
    <mergeCell ref="D185:F185"/>
    <mergeCell ref="D186:F186"/>
    <mergeCell ref="D187:F187"/>
    <mergeCell ref="D188:F188"/>
    <mergeCell ref="D189:F189"/>
    <mergeCell ref="D190:F190"/>
    <mergeCell ref="D179:F179"/>
    <mergeCell ref="D180:F180"/>
    <mergeCell ref="D181:F181"/>
    <mergeCell ref="D182:F182"/>
    <mergeCell ref="D183:F183"/>
    <mergeCell ref="D184:F184"/>
    <mergeCell ref="D209:F209"/>
    <mergeCell ref="D210:F210"/>
    <mergeCell ref="D211:F211"/>
    <mergeCell ref="D212:F212"/>
    <mergeCell ref="D213:F213"/>
    <mergeCell ref="D214:F214"/>
    <mergeCell ref="D203:F203"/>
    <mergeCell ref="D204:F204"/>
    <mergeCell ref="D205:F205"/>
    <mergeCell ref="D206:F206"/>
    <mergeCell ref="D207:F207"/>
    <mergeCell ref="D208:F208"/>
    <mergeCell ref="D197:F197"/>
    <mergeCell ref="D198:F198"/>
    <mergeCell ref="D199:F199"/>
    <mergeCell ref="D200:F200"/>
    <mergeCell ref="D201:F201"/>
    <mergeCell ref="D202:F202"/>
    <mergeCell ref="D237:F237"/>
    <mergeCell ref="D238:F238"/>
    <mergeCell ref="D227:F227"/>
    <mergeCell ref="D228:F228"/>
    <mergeCell ref="D229:F229"/>
    <mergeCell ref="D230:F230"/>
    <mergeCell ref="D231:F231"/>
    <mergeCell ref="D232:F232"/>
    <mergeCell ref="D221:F221"/>
    <mergeCell ref="D222:F222"/>
    <mergeCell ref="D223:F223"/>
    <mergeCell ref="D224:F224"/>
    <mergeCell ref="D225:F225"/>
    <mergeCell ref="D226:F226"/>
    <mergeCell ref="D215:F215"/>
    <mergeCell ref="D216:F216"/>
    <mergeCell ref="D217:F217"/>
    <mergeCell ref="D218:F218"/>
    <mergeCell ref="D219:F219"/>
    <mergeCell ref="D220:F220"/>
    <mergeCell ref="D257:F257"/>
    <mergeCell ref="D258:F258"/>
    <mergeCell ref="D259:F259"/>
    <mergeCell ref="D260:F260"/>
    <mergeCell ref="G11:I11"/>
    <mergeCell ref="G12:I12"/>
    <mergeCell ref="G13:I13"/>
    <mergeCell ref="G14:I14"/>
    <mergeCell ref="G15:I15"/>
    <mergeCell ref="G16:I16"/>
    <mergeCell ref="D251:F251"/>
    <mergeCell ref="D252:F252"/>
    <mergeCell ref="D253:F253"/>
    <mergeCell ref="D254:F254"/>
    <mergeCell ref="D255:F255"/>
    <mergeCell ref="D256:F256"/>
    <mergeCell ref="D245:F245"/>
    <mergeCell ref="D246:F246"/>
    <mergeCell ref="D247:F247"/>
    <mergeCell ref="D248:F248"/>
    <mergeCell ref="D249:F249"/>
    <mergeCell ref="D250:F250"/>
    <mergeCell ref="D239:F239"/>
    <mergeCell ref="D240:F240"/>
    <mergeCell ref="D241:F241"/>
    <mergeCell ref="D242:F242"/>
    <mergeCell ref="D243:F243"/>
    <mergeCell ref="D244:F244"/>
    <mergeCell ref="D233:F233"/>
    <mergeCell ref="D234:F234"/>
    <mergeCell ref="D235:F235"/>
    <mergeCell ref="D236:F236"/>
    <mergeCell ref="G29:I29"/>
    <mergeCell ref="G30:I30"/>
    <mergeCell ref="G31:I31"/>
    <mergeCell ref="G32:I32"/>
    <mergeCell ref="G33:I33"/>
    <mergeCell ref="G34:I34"/>
    <mergeCell ref="G23:I23"/>
    <mergeCell ref="G24:I24"/>
    <mergeCell ref="G25:I25"/>
    <mergeCell ref="G26:I26"/>
    <mergeCell ref="G27:I27"/>
    <mergeCell ref="G28:I28"/>
    <mergeCell ref="G17:I17"/>
    <mergeCell ref="G18:I18"/>
    <mergeCell ref="G19:I19"/>
    <mergeCell ref="G20:I20"/>
    <mergeCell ref="G21:I21"/>
    <mergeCell ref="G22:I22"/>
    <mergeCell ref="G47:I47"/>
    <mergeCell ref="G48:I48"/>
    <mergeCell ref="G49:I49"/>
    <mergeCell ref="G50:I50"/>
    <mergeCell ref="G51:I51"/>
    <mergeCell ref="G52:I52"/>
    <mergeCell ref="G41:I41"/>
    <mergeCell ref="G42:I42"/>
    <mergeCell ref="G43:I43"/>
    <mergeCell ref="G44:I44"/>
    <mergeCell ref="G45:I45"/>
    <mergeCell ref="G46:I46"/>
    <mergeCell ref="G35:I35"/>
    <mergeCell ref="G36:I36"/>
    <mergeCell ref="G37:I37"/>
    <mergeCell ref="G38:I38"/>
    <mergeCell ref="G39:I39"/>
    <mergeCell ref="G40:I40"/>
    <mergeCell ref="G65:I65"/>
    <mergeCell ref="G66:I66"/>
    <mergeCell ref="G67:I67"/>
    <mergeCell ref="G68:I68"/>
    <mergeCell ref="G69:I69"/>
    <mergeCell ref="G70:I70"/>
    <mergeCell ref="G59:I59"/>
    <mergeCell ref="G60:I60"/>
    <mergeCell ref="G61:I61"/>
    <mergeCell ref="G62:I62"/>
    <mergeCell ref="G63:I63"/>
    <mergeCell ref="G64:I64"/>
    <mergeCell ref="G53:I53"/>
    <mergeCell ref="G54:I54"/>
    <mergeCell ref="G55:I55"/>
    <mergeCell ref="G56:I56"/>
    <mergeCell ref="G57:I57"/>
    <mergeCell ref="G58:I58"/>
    <mergeCell ref="G83:I83"/>
    <mergeCell ref="G84:I84"/>
    <mergeCell ref="G85:I85"/>
    <mergeCell ref="G86:I86"/>
    <mergeCell ref="G87:I87"/>
    <mergeCell ref="G88:I88"/>
    <mergeCell ref="G77:I77"/>
    <mergeCell ref="G78:I78"/>
    <mergeCell ref="G79:I79"/>
    <mergeCell ref="G80:I80"/>
    <mergeCell ref="G81:I81"/>
    <mergeCell ref="G82:I82"/>
    <mergeCell ref="G71:I71"/>
    <mergeCell ref="G72:I72"/>
    <mergeCell ref="G73:I73"/>
    <mergeCell ref="G74:I74"/>
    <mergeCell ref="G75:I75"/>
    <mergeCell ref="G76:I76"/>
    <mergeCell ref="G101:I101"/>
    <mergeCell ref="G102:I102"/>
    <mergeCell ref="G103:I103"/>
    <mergeCell ref="G104:I104"/>
    <mergeCell ref="G105:I105"/>
    <mergeCell ref="G106:I106"/>
    <mergeCell ref="G95:I95"/>
    <mergeCell ref="G96:I96"/>
    <mergeCell ref="G97:I97"/>
    <mergeCell ref="G98:I98"/>
    <mergeCell ref="G99:I99"/>
    <mergeCell ref="G100:I100"/>
    <mergeCell ref="G89:I89"/>
    <mergeCell ref="G90:I90"/>
    <mergeCell ref="G91:I91"/>
    <mergeCell ref="G92:I92"/>
    <mergeCell ref="G93:I93"/>
    <mergeCell ref="G94:I94"/>
    <mergeCell ref="G119:I119"/>
    <mergeCell ref="G120:I120"/>
    <mergeCell ref="G121:I121"/>
    <mergeCell ref="G122:I122"/>
    <mergeCell ref="G123:I123"/>
    <mergeCell ref="G124:I124"/>
    <mergeCell ref="G113:I113"/>
    <mergeCell ref="G114:I114"/>
    <mergeCell ref="G115:I115"/>
    <mergeCell ref="G116:I116"/>
    <mergeCell ref="G117:I117"/>
    <mergeCell ref="G118:I118"/>
    <mergeCell ref="G107:I107"/>
    <mergeCell ref="G108:I108"/>
    <mergeCell ref="G109:I109"/>
    <mergeCell ref="G110:I110"/>
    <mergeCell ref="G111:I111"/>
    <mergeCell ref="G112:I112"/>
    <mergeCell ref="G137:I137"/>
    <mergeCell ref="G138:I138"/>
    <mergeCell ref="G139:I139"/>
    <mergeCell ref="G140:I140"/>
    <mergeCell ref="G141:I141"/>
    <mergeCell ref="G142:I142"/>
    <mergeCell ref="G131:I131"/>
    <mergeCell ref="G132:I132"/>
    <mergeCell ref="G133:I133"/>
    <mergeCell ref="G134:I134"/>
    <mergeCell ref="G135:I135"/>
    <mergeCell ref="G136:I136"/>
    <mergeCell ref="G125:I125"/>
    <mergeCell ref="G126:I126"/>
    <mergeCell ref="G127:I127"/>
    <mergeCell ref="G128:I128"/>
    <mergeCell ref="G129:I129"/>
    <mergeCell ref="G130:I130"/>
    <mergeCell ref="G155:I155"/>
    <mergeCell ref="G156:I156"/>
    <mergeCell ref="G157:I157"/>
    <mergeCell ref="G158:I158"/>
    <mergeCell ref="G159:I159"/>
    <mergeCell ref="G160:I160"/>
    <mergeCell ref="G149:I149"/>
    <mergeCell ref="G150:I150"/>
    <mergeCell ref="G151:I151"/>
    <mergeCell ref="G152:I152"/>
    <mergeCell ref="G153:I153"/>
    <mergeCell ref="G154:I154"/>
    <mergeCell ref="G143:I143"/>
    <mergeCell ref="G144:I144"/>
    <mergeCell ref="G145:I145"/>
    <mergeCell ref="G146:I146"/>
    <mergeCell ref="G147:I147"/>
    <mergeCell ref="G148:I148"/>
    <mergeCell ref="G173:I173"/>
    <mergeCell ref="G174:I174"/>
    <mergeCell ref="G175:I175"/>
    <mergeCell ref="G176:I176"/>
    <mergeCell ref="G177:I177"/>
    <mergeCell ref="G178:I178"/>
    <mergeCell ref="G167:I167"/>
    <mergeCell ref="G168:I168"/>
    <mergeCell ref="G169:I169"/>
    <mergeCell ref="G170:I170"/>
    <mergeCell ref="G171:I171"/>
    <mergeCell ref="G172:I172"/>
    <mergeCell ref="G161:I161"/>
    <mergeCell ref="G162:I162"/>
    <mergeCell ref="G163:I163"/>
    <mergeCell ref="G164:I164"/>
    <mergeCell ref="G165:I165"/>
    <mergeCell ref="G166:I166"/>
    <mergeCell ref="G191:I191"/>
    <mergeCell ref="G192:I192"/>
    <mergeCell ref="G193:I193"/>
    <mergeCell ref="G194:I194"/>
    <mergeCell ref="G195:I195"/>
    <mergeCell ref="G196:I196"/>
    <mergeCell ref="G185:I185"/>
    <mergeCell ref="G186:I186"/>
    <mergeCell ref="G187:I187"/>
    <mergeCell ref="G188:I188"/>
    <mergeCell ref="G189:I189"/>
    <mergeCell ref="G190:I190"/>
    <mergeCell ref="G179:I179"/>
    <mergeCell ref="G180:I180"/>
    <mergeCell ref="G181:I181"/>
    <mergeCell ref="G182:I182"/>
    <mergeCell ref="G183:I183"/>
    <mergeCell ref="G184:I184"/>
    <mergeCell ref="G209:I209"/>
    <mergeCell ref="G210:I210"/>
    <mergeCell ref="G211:I211"/>
    <mergeCell ref="G212:I212"/>
    <mergeCell ref="G213:I213"/>
    <mergeCell ref="G214:I214"/>
    <mergeCell ref="G203:I203"/>
    <mergeCell ref="G204:I204"/>
    <mergeCell ref="G205:I205"/>
    <mergeCell ref="G206:I206"/>
    <mergeCell ref="G207:I207"/>
    <mergeCell ref="G208:I208"/>
    <mergeCell ref="G197:I197"/>
    <mergeCell ref="G198:I198"/>
    <mergeCell ref="G199:I199"/>
    <mergeCell ref="G200:I200"/>
    <mergeCell ref="G201:I201"/>
    <mergeCell ref="G202:I202"/>
    <mergeCell ref="G237:I237"/>
    <mergeCell ref="G238:I238"/>
    <mergeCell ref="G227:I227"/>
    <mergeCell ref="G228:I228"/>
    <mergeCell ref="G229:I229"/>
    <mergeCell ref="G230:I230"/>
    <mergeCell ref="G231:I231"/>
    <mergeCell ref="G232:I232"/>
    <mergeCell ref="G221:I221"/>
    <mergeCell ref="G222:I222"/>
    <mergeCell ref="G223:I223"/>
    <mergeCell ref="G224:I224"/>
    <mergeCell ref="G225:I225"/>
    <mergeCell ref="G226:I226"/>
    <mergeCell ref="G215:I215"/>
    <mergeCell ref="G216:I216"/>
    <mergeCell ref="G217:I217"/>
    <mergeCell ref="G218:I218"/>
    <mergeCell ref="G219:I219"/>
    <mergeCell ref="G220:I220"/>
    <mergeCell ref="G257:I257"/>
    <mergeCell ref="G258:I258"/>
    <mergeCell ref="G259:I259"/>
    <mergeCell ref="G260:I260"/>
    <mergeCell ref="J11:L11"/>
    <mergeCell ref="J12:L12"/>
    <mergeCell ref="J13:L13"/>
    <mergeCell ref="J14:L14"/>
    <mergeCell ref="J15:L15"/>
    <mergeCell ref="J16:L16"/>
    <mergeCell ref="G251:I251"/>
    <mergeCell ref="G252:I252"/>
    <mergeCell ref="G253:I253"/>
    <mergeCell ref="G254:I254"/>
    <mergeCell ref="G255:I255"/>
    <mergeCell ref="G256:I256"/>
    <mergeCell ref="G245:I245"/>
    <mergeCell ref="G246:I246"/>
    <mergeCell ref="G247:I247"/>
    <mergeCell ref="G248:I248"/>
    <mergeCell ref="G249:I249"/>
    <mergeCell ref="G250:I250"/>
    <mergeCell ref="G239:I239"/>
    <mergeCell ref="G240:I240"/>
    <mergeCell ref="G241:I241"/>
    <mergeCell ref="G242:I242"/>
    <mergeCell ref="G243:I243"/>
    <mergeCell ref="G244:I244"/>
    <mergeCell ref="G233:I233"/>
    <mergeCell ref="G234:I234"/>
    <mergeCell ref="G235:I235"/>
    <mergeCell ref="G236:I236"/>
    <mergeCell ref="J29:L29"/>
    <mergeCell ref="J30:L30"/>
    <mergeCell ref="J31:L31"/>
    <mergeCell ref="J32:L32"/>
    <mergeCell ref="J33:L33"/>
    <mergeCell ref="J34:L34"/>
    <mergeCell ref="J23:L23"/>
    <mergeCell ref="J24:L24"/>
    <mergeCell ref="J25:L25"/>
    <mergeCell ref="J26:L26"/>
    <mergeCell ref="J27:L27"/>
    <mergeCell ref="J28:L28"/>
    <mergeCell ref="J17:L17"/>
    <mergeCell ref="J18:L18"/>
    <mergeCell ref="J19:L19"/>
    <mergeCell ref="J20:L20"/>
    <mergeCell ref="J21:L21"/>
    <mergeCell ref="J22:L22"/>
    <mergeCell ref="J47:L47"/>
    <mergeCell ref="J48:L48"/>
    <mergeCell ref="J49:L49"/>
    <mergeCell ref="J50:L50"/>
    <mergeCell ref="J51:L51"/>
    <mergeCell ref="J52:L52"/>
    <mergeCell ref="J41:L41"/>
    <mergeCell ref="J42:L42"/>
    <mergeCell ref="J43:L43"/>
    <mergeCell ref="J44:L44"/>
    <mergeCell ref="J45:L45"/>
    <mergeCell ref="J46:L46"/>
    <mergeCell ref="J35:L35"/>
    <mergeCell ref="J36:L36"/>
    <mergeCell ref="J37:L37"/>
    <mergeCell ref="J38:L38"/>
    <mergeCell ref="J39:L39"/>
    <mergeCell ref="J40:L40"/>
    <mergeCell ref="J65:L65"/>
    <mergeCell ref="J66:L66"/>
    <mergeCell ref="J67:L67"/>
    <mergeCell ref="J68:L68"/>
    <mergeCell ref="J69:L69"/>
    <mergeCell ref="J70:L70"/>
    <mergeCell ref="J59:L59"/>
    <mergeCell ref="J60:L60"/>
    <mergeCell ref="J61:L61"/>
    <mergeCell ref="J62:L62"/>
    <mergeCell ref="J63:L63"/>
    <mergeCell ref="J64:L64"/>
    <mergeCell ref="J53:L53"/>
    <mergeCell ref="J54:L54"/>
    <mergeCell ref="J55:L55"/>
    <mergeCell ref="J56:L56"/>
    <mergeCell ref="J57:L57"/>
    <mergeCell ref="J58:L58"/>
    <mergeCell ref="J83:L83"/>
    <mergeCell ref="J84:L84"/>
    <mergeCell ref="J85:L85"/>
    <mergeCell ref="J86:L86"/>
    <mergeCell ref="J87:L87"/>
    <mergeCell ref="J88:L88"/>
    <mergeCell ref="J77:L77"/>
    <mergeCell ref="J78:L78"/>
    <mergeCell ref="J79:L79"/>
    <mergeCell ref="J80:L80"/>
    <mergeCell ref="J81:L81"/>
    <mergeCell ref="J82:L82"/>
    <mergeCell ref="J71:L71"/>
    <mergeCell ref="J72:L72"/>
    <mergeCell ref="J73:L73"/>
    <mergeCell ref="J74:L74"/>
    <mergeCell ref="J75:L75"/>
    <mergeCell ref="J76:L76"/>
    <mergeCell ref="J101:L101"/>
    <mergeCell ref="J102:L102"/>
    <mergeCell ref="J103:L103"/>
    <mergeCell ref="J104:L104"/>
    <mergeCell ref="J105:L105"/>
    <mergeCell ref="J106:L106"/>
    <mergeCell ref="J95:L95"/>
    <mergeCell ref="J96:L96"/>
    <mergeCell ref="J97:L97"/>
    <mergeCell ref="J98:L98"/>
    <mergeCell ref="J99:L99"/>
    <mergeCell ref="J100:L100"/>
    <mergeCell ref="J89:L89"/>
    <mergeCell ref="J90:L90"/>
    <mergeCell ref="J91:L91"/>
    <mergeCell ref="J92:L92"/>
    <mergeCell ref="J93:L93"/>
    <mergeCell ref="J94:L94"/>
    <mergeCell ref="J119:L119"/>
    <mergeCell ref="J120:L120"/>
    <mergeCell ref="J121:L121"/>
    <mergeCell ref="J122:L122"/>
    <mergeCell ref="J123:L123"/>
    <mergeCell ref="J124:L124"/>
    <mergeCell ref="J113:L113"/>
    <mergeCell ref="J114:L114"/>
    <mergeCell ref="J115:L115"/>
    <mergeCell ref="J116:L116"/>
    <mergeCell ref="J117:L117"/>
    <mergeCell ref="J118:L118"/>
    <mergeCell ref="J107:L107"/>
    <mergeCell ref="J108:L108"/>
    <mergeCell ref="J109:L109"/>
    <mergeCell ref="J110:L110"/>
    <mergeCell ref="J111:L111"/>
    <mergeCell ref="J112:L112"/>
    <mergeCell ref="J137:L137"/>
    <mergeCell ref="J138:L138"/>
    <mergeCell ref="J139:L139"/>
    <mergeCell ref="J140:L140"/>
    <mergeCell ref="J141:L141"/>
    <mergeCell ref="J142:L142"/>
    <mergeCell ref="J131:L131"/>
    <mergeCell ref="J132:L132"/>
    <mergeCell ref="J133:L133"/>
    <mergeCell ref="J134:L134"/>
    <mergeCell ref="J135:L135"/>
    <mergeCell ref="J136:L136"/>
    <mergeCell ref="J125:L125"/>
    <mergeCell ref="J126:L126"/>
    <mergeCell ref="J127:L127"/>
    <mergeCell ref="J128:L128"/>
    <mergeCell ref="J129:L129"/>
    <mergeCell ref="J130:L130"/>
    <mergeCell ref="J155:L155"/>
    <mergeCell ref="J156:L156"/>
    <mergeCell ref="J157:L157"/>
    <mergeCell ref="J158:L158"/>
    <mergeCell ref="J159:L159"/>
    <mergeCell ref="J160:L160"/>
    <mergeCell ref="J149:L149"/>
    <mergeCell ref="J150:L150"/>
    <mergeCell ref="J151:L151"/>
    <mergeCell ref="J152:L152"/>
    <mergeCell ref="J153:L153"/>
    <mergeCell ref="J154:L154"/>
    <mergeCell ref="J143:L143"/>
    <mergeCell ref="J144:L144"/>
    <mergeCell ref="J145:L145"/>
    <mergeCell ref="J146:L146"/>
    <mergeCell ref="J147:L147"/>
    <mergeCell ref="J148:L148"/>
    <mergeCell ref="J173:L173"/>
    <mergeCell ref="J174:L174"/>
    <mergeCell ref="J175:L175"/>
    <mergeCell ref="J176:L176"/>
    <mergeCell ref="J177:L177"/>
    <mergeCell ref="J178:L178"/>
    <mergeCell ref="J167:L167"/>
    <mergeCell ref="J168:L168"/>
    <mergeCell ref="J169:L169"/>
    <mergeCell ref="J170:L170"/>
    <mergeCell ref="J171:L171"/>
    <mergeCell ref="J172:L172"/>
    <mergeCell ref="J161:L161"/>
    <mergeCell ref="J162:L162"/>
    <mergeCell ref="J163:L163"/>
    <mergeCell ref="J164:L164"/>
    <mergeCell ref="J165:L165"/>
    <mergeCell ref="J166:L166"/>
    <mergeCell ref="J191:L191"/>
    <mergeCell ref="J192:L192"/>
    <mergeCell ref="J193:L193"/>
    <mergeCell ref="J194:L194"/>
    <mergeCell ref="J195:L195"/>
    <mergeCell ref="J196:L196"/>
    <mergeCell ref="J185:L185"/>
    <mergeCell ref="J186:L186"/>
    <mergeCell ref="J187:L187"/>
    <mergeCell ref="J188:L188"/>
    <mergeCell ref="J189:L189"/>
    <mergeCell ref="J190:L190"/>
    <mergeCell ref="J179:L179"/>
    <mergeCell ref="J180:L180"/>
    <mergeCell ref="J181:L181"/>
    <mergeCell ref="J182:L182"/>
    <mergeCell ref="J183:L183"/>
    <mergeCell ref="J184:L184"/>
    <mergeCell ref="J209:L209"/>
    <mergeCell ref="J210:L210"/>
    <mergeCell ref="J211:L211"/>
    <mergeCell ref="J212:L212"/>
    <mergeCell ref="J213:L213"/>
    <mergeCell ref="J214:L214"/>
    <mergeCell ref="J203:L203"/>
    <mergeCell ref="J204:L204"/>
    <mergeCell ref="J205:L205"/>
    <mergeCell ref="J206:L206"/>
    <mergeCell ref="J207:L207"/>
    <mergeCell ref="J208:L208"/>
    <mergeCell ref="J197:L197"/>
    <mergeCell ref="J198:L198"/>
    <mergeCell ref="J199:L199"/>
    <mergeCell ref="J200:L200"/>
    <mergeCell ref="J201:L201"/>
    <mergeCell ref="J202:L202"/>
    <mergeCell ref="J227:L227"/>
    <mergeCell ref="J228:L228"/>
    <mergeCell ref="J229:L229"/>
    <mergeCell ref="J230:L230"/>
    <mergeCell ref="J231:L231"/>
    <mergeCell ref="J232:L232"/>
    <mergeCell ref="J221:L221"/>
    <mergeCell ref="J222:L222"/>
    <mergeCell ref="J223:L223"/>
    <mergeCell ref="J224:L224"/>
    <mergeCell ref="J225:L225"/>
    <mergeCell ref="J226:L226"/>
    <mergeCell ref="J215:L215"/>
    <mergeCell ref="J216:L216"/>
    <mergeCell ref="J217:L217"/>
    <mergeCell ref="J218:L218"/>
    <mergeCell ref="J219:L219"/>
    <mergeCell ref="J220:L220"/>
    <mergeCell ref="R10:S10"/>
    <mergeCell ref="J257:L257"/>
    <mergeCell ref="J258:L258"/>
    <mergeCell ref="J259:L259"/>
    <mergeCell ref="J260:L260"/>
    <mergeCell ref="D9:F9"/>
    <mergeCell ref="G9:I9"/>
    <mergeCell ref="J9:L9"/>
    <mergeCell ref="J251:L251"/>
    <mergeCell ref="J252:L252"/>
    <mergeCell ref="J253:L253"/>
    <mergeCell ref="J254:L254"/>
    <mergeCell ref="J255:L255"/>
    <mergeCell ref="J256:L256"/>
    <mergeCell ref="J245:L245"/>
    <mergeCell ref="J246:L246"/>
    <mergeCell ref="J247:L247"/>
    <mergeCell ref="J248:L248"/>
    <mergeCell ref="J249:L249"/>
    <mergeCell ref="J250:L250"/>
    <mergeCell ref="J239:L239"/>
    <mergeCell ref="J240:L240"/>
    <mergeCell ref="J241:L241"/>
    <mergeCell ref="J242:L242"/>
    <mergeCell ref="J243:L243"/>
    <mergeCell ref="J244:L244"/>
    <mergeCell ref="J233:L233"/>
    <mergeCell ref="J234:L234"/>
    <mergeCell ref="J235:L235"/>
    <mergeCell ref="J236:L236"/>
    <mergeCell ref="J237:L237"/>
    <mergeCell ref="J238:L238"/>
  </mergeCells>
  <conditionalFormatting sqref="B11:L260">
    <cfRule type="expression" dxfId="71" priority="1">
      <formula>$G11:$I260="Gift"</formula>
    </cfRule>
    <cfRule type="expression" dxfId="70" priority="2">
      <formula>$G11:$I260="Gala"</formula>
    </cfRule>
    <cfRule type="expression" dxfId="69" priority="3">
      <formula>$G11:$I260="Want"</formula>
    </cfRule>
    <cfRule type="expression" dxfId="68" priority="4">
      <formula>$J11:$L260="Load"</formula>
    </cfRule>
    <cfRule type="expression" dxfId="67" priority="5">
      <formula>$J11:$L260="Hold"</formula>
    </cfRule>
    <cfRule type="expression" dxfId="66" priority="6">
      <formula>$G11:$I260="pookie"</formula>
    </cfRule>
    <cfRule type="expression" dxfId="65" priority="7">
      <formula>$J11:$L260="Piggy"</formula>
    </cfRule>
    <cfRule type="expression" dxfId="64" priority="8">
      <formula>$G11:$I260="Canva"</formula>
    </cfRule>
    <cfRule type="expression" dxfId="63" priority="9">
      <formula>$G11:$I260="Data"</formula>
    </cfRule>
    <cfRule type="expression" dxfId="62" priority="10">
      <formula>$G11:$I260="Emergency"</formula>
    </cfRule>
    <cfRule type="expression" dxfId="61" priority="11">
      <formula>$G11:$I260="Beep"</formula>
    </cfRule>
    <cfRule type="expression" dxfId="60" priority="12">
      <formula>$G11:$I260="IponBox"</formula>
    </cfRule>
    <cfRule type="expression" dxfId="59" priority="13">
      <formula>$G11:$I260="Savings"</formula>
    </cfRule>
    <cfRule type="expression" dxfId="58" priority="14">
      <formula>$G11:$I260="IponCard"</formula>
    </cfRule>
    <cfRule type="expression" dxfId="57" priority="15">
      <formula>$G11:$I260="Piggy"</formula>
    </cfRule>
    <cfRule type="expression" dxfId="56" priority="16">
      <formula>$G11:$I260="Load"</formula>
    </cfRule>
  </conditionalFormatting>
  <conditionalFormatting sqref="D6:D7">
    <cfRule type="cellIs" dxfId="55" priority="18" operator="lessThanOrEqual">
      <formula>100</formula>
    </cfRule>
    <cfRule type="cellIs" dxfId="54" priority="19" operator="greaterThanOrEqual">
      <formula>$C$6</formula>
    </cfRule>
  </conditionalFormatting>
  <conditionalFormatting sqref="H3">
    <cfRule type="cellIs" dxfId="53" priority="26" operator="lessThanOrEqual">
      <formula>0</formula>
    </cfRule>
    <cfRule type="cellIs" dxfId="52" priority="27" operator="greaterThanOrEqual">
      <formula>$G$3</formula>
    </cfRule>
  </conditionalFormatting>
  <conditionalFormatting sqref="H6:H7">
    <cfRule type="cellIs" dxfId="51" priority="17" operator="greaterThanOrEqual">
      <formula>$G$6</formula>
    </cfRule>
  </conditionalFormatting>
  <conditionalFormatting sqref="L3">
    <cfRule type="cellIs" dxfId="50" priority="24" operator="lessThanOrEqual">
      <formula>0</formula>
    </cfRule>
    <cfRule type="cellIs" dxfId="49" priority="25" operator="greaterThanOrEqual">
      <formula>$K$3</formula>
    </cfRule>
  </conditionalFormatting>
  <conditionalFormatting sqref="L6">
    <cfRule type="cellIs" dxfId="48" priority="22" operator="greaterThanOrEqual">
      <formula>$K$6</formula>
    </cfRule>
  </conditionalFormatting>
  <conditionalFormatting sqref="L7">
    <cfRule type="cellIs" dxfId="47" priority="20" operator="greaterThanOrEqual">
      <formula>$K$7</formula>
    </cfRule>
    <cfRule type="cellIs" dxfId="46" priority="2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3811-6B6A-4C31-BA81-4F07CF8B520B}">
  <sheetPr>
    <tabColor theme="9" tint="0.79998168889431442"/>
  </sheetPr>
  <dimension ref="A1:M257"/>
  <sheetViews>
    <sheetView zoomScale="205" zoomScaleNormal="205" workbookViewId="0">
      <selection activeCell="C5" sqref="C5"/>
    </sheetView>
  </sheetViews>
  <sheetFormatPr defaultRowHeight="13" x14ac:dyDescent="0.4"/>
  <cols>
    <col min="1" max="1" width="8.7265625" style="21"/>
    <col min="2" max="2" width="10.08984375" style="21" bestFit="1" customWidth="1"/>
    <col min="3" max="4" width="9.6328125" style="21" bestFit="1" customWidth="1"/>
    <col min="5" max="5" width="1.81640625" style="21" customWidth="1"/>
    <col min="6" max="6" width="10.08984375" style="21" bestFit="1" customWidth="1"/>
    <col min="7" max="8" width="9.6328125" style="21" bestFit="1" customWidth="1"/>
    <col min="9" max="9" width="1.81640625" style="21" customWidth="1"/>
    <col min="10" max="10" width="10.08984375" style="21" bestFit="1" customWidth="1"/>
    <col min="11" max="11" width="10.1796875" style="21" bestFit="1" customWidth="1"/>
    <col min="12" max="12" width="9.6328125" style="21" bestFit="1" customWidth="1"/>
    <col min="13" max="16384" width="8.7265625" style="21"/>
  </cols>
  <sheetData>
    <row r="1" spans="1:13" ht="10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4">
      <c r="A2" s="1"/>
      <c r="B2" s="155" t="s">
        <v>27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"/>
    </row>
    <row r="3" spans="1:13" ht="10" customHeight="1" thickBo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4">
      <c r="A4" s="1"/>
      <c r="B4" s="158" t="s">
        <v>26</v>
      </c>
      <c r="C4" s="159"/>
      <c r="D4" s="160"/>
      <c r="E4" s="1"/>
      <c r="F4" s="158" t="s">
        <v>25</v>
      </c>
      <c r="G4" s="159"/>
      <c r="H4" s="160"/>
      <c r="I4" s="1"/>
      <c r="J4" s="158" t="s">
        <v>24</v>
      </c>
      <c r="K4" s="159"/>
      <c r="L4" s="160"/>
      <c r="M4" s="1"/>
    </row>
    <row r="5" spans="1:13" ht="13.5" thickBot="1" x14ac:dyDescent="0.45">
      <c r="A5" s="1"/>
      <c r="B5" s="3" t="s">
        <v>0</v>
      </c>
      <c r="C5" s="22"/>
      <c r="D5" s="77">
        <f>Stipend!J2</f>
        <v>0</v>
      </c>
      <c r="E5" s="1"/>
      <c r="F5" s="3" t="s">
        <v>0</v>
      </c>
      <c r="G5" s="22">
        <f>IponBox!D3</f>
        <v>0</v>
      </c>
      <c r="H5" s="23">
        <f>IponBox!D3-IponBox!E3</f>
        <v>0</v>
      </c>
      <c r="I5" s="1"/>
      <c r="J5" s="3" t="s">
        <v>0</v>
      </c>
      <c r="K5" s="161" cm="1">
        <f t="array" ref="K5">_xlfn.LET(_xlpm.Bal, SUMPRODUCT(Allowance!$D11:$F260*(Allowance!$G11:$I260="IponCard")) + Allowance!S21, _xlpm.Bal - (PRODUCT(COUNTIFS(Allowance!$G11:$I260, "IponCard", Allowance!$J11:$L260, "Clear"), _xlpm.Bal)))</f>
        <v>0</v>
      </c>
      <c r="L5" s="162"/>
      <c r="M5" s="1"/>
    </row>
    <row r="6" spans="1:13" ht="10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8" spans="1:13" ht="10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4">
      <c r="A9" s="1"/>
      <c r="B9" s="155" t="s">
        <v>23</v>
      </c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"/>
    </row>
    <row r="10" spans="1:13" ht="10" customHeight="1" thickBo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4">
      <c r="A11" s="1"/>
      <c r="B11" s="158" t="s">
        <v>22</v>
      </c>
      <c r="C11" s="159"/>
      <c r="D11" s="160"/>
      <c r="E11" s="1"/>
      <c r="F11" s="158" t="s">
        <v>20</v>
      </c>
      <c r="G11" s="159"/>
      <c r="H11" s="160"/>
      <c r="I11" s="1"/>
      <c r="J11" s="158" t="s">
        <v>15</v>
      </c>
      <c r="K11" s="159"/>
      <c r="L11" s="160"/>
      <c r="M11" s="1"/>
    </row>
    <row r="12" spans="1:13" x14ac:dyDescent="0.4">
      <c r="A12" s="1"/>
      <c r="B12" s="5" t="s">
        <v>19</v>
      </c>
      <c r="C12" s="35"/>
      <c r="D12" s="76">
        <f>SUM(D13:D14)</f>
        <v>0</v>
      </c>
      <c r="E12" s="1"/>
      <c r="F12" s="5" t="s">
        <v>19</v>
      </c>
      <c r="G12" s="35"/>
      <c r="H12" s="76">
        <f>SUM(H13:H14)</f>
        <v>0</v>
      </c>
      <c r="I12" s="1"/>
      <c r="J12" s="34"/>
      <c r="K12" s="36"/>
      <c r="L12" s="76">
        <f>Savings!J4</f>
        <v>0</v>
      </c>
      <c r="M12" s="1"/>
    </row>
    <row r="13" spans="1:13" x14ac:dyDescent="0.4">
      <c r="A13" s="1"/>
      <c r="B13" s="152" t="s">
        <v>18</v>
      </c>
      <c r="C13" s="153"/>
      <c r="D13" s="6">
        <f>CIMB!I2</f>
        <v>0</v>
      </c>
      <c r="E13" s="1"/>
      <c r="F13" s="152" t="s">
        <v>17</v>
      </c>
      <c r="G13" s="154"/>
      <c r="H13" s="26">
        <f>Maya!I2</f>
        <v>0</v>
      </c>
      <c r="I13" s="1"/>
      <c r="J13" s="34"/>
      <c r="K13" s="36"/>
      <c r="L13" s="76">
        <f>Savings!J3</f>
        <v>0</v>
      </c>
      <c r="M13" s="1"/>
    </row>
    <row r="14" spans="1:13" ht="13" customHeight="1" thickBot="1" x14ac:dyDescent="0.45">
      <c r="A14" s="1"/>
      <c r="B14" s="156" t="s">
        <v>16</v>
      </c>
      <c r="C14" s="157"/>
      <c r="D14" s="33">
        <f>CIMB!I3</f>
        <v>0</v>
      </c>
      <c r="E14" s="28"/>
      <c r="F14" s="156" t="s">
        <v>15</v>
      </c>
      <c r="G14" s="157">
        <v>0</v>
      </c>
      <c r="H14" s="23">
        <f>Maya!I3</f>
        <v>0</v>
      </c>
      <c r="I14" s="1"/>
      <c r="J14" s="7"/>
      <c r="K14" s="37"/>
      <c r="L14" s="77">
        <f>Savings!J2</f>
        <v>0</v>
      </c>
      <c r="M14" s="1"/>
    </row>
    <row r="15" spans="1:13" ht="10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257" spans="1:13" s="1" customFormat="1" x14ac:dyDescent="0.4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</sheetData>
  <mergeCells count="13">
    <mergeCell ref="B13:C13"/>
    <mergeCell ref="F13:G13"/>
    <mergeCell ref="B2:L2"/>
    <mergeCell ref="B9:L9"/>
    <mergeCell ref="B14:C14"/>
    <mergeCell ref="F14:G14"/>
    <mergeCell ref="B4:D4"/>
    <mergeCell ref="F4:H4"/>
    <mergeCell ref="J4:L4"/>
    <mergeCell ref="B11:D11"/>
    <mergeCell ref="F11:H11"/>
    <mergeCell ref="J11:L11"/>
    <mergeCell ref="K5:L5"/>
  </mergeCells>
  <conditionalFormatting sqref="D5">
    <cfRule type="cellIs" dxfId="45" priority="6" operator="greaterThanOrEqual">
      <formula>$C$5</formula>
    </cfRule>
  </conditionalFormatting>
  <conditionalFormatting sqref="D12">
    <cfRule type="cellIs" dxfId="44" priority="4" operator="greaterThanOrEqual">
      <formula>$C$12</formula>
    </cfRule>
  </conditionalFormatting>
  <conditionalFormatting sqref="H5">
    <cfRule type="cellIs" dxfId="43" priority="5" operator="greaterThanOrEqual">
      <formula>$G$5</formula>
    </cfRule>
    <cfRule type="cellIs" dxfId="42" priority="8" operator="between">
      <formula>$G$5</formula>
      <formula>1</formula>
    </cfRule>
  </conditionalFormatting>
  <conditionalFormatting sqref="L12">
    <cfRule type="cellIs" dxfId="41" priority="3" operator="greaterThanOrEqual">
      <formula>$K$12</formula>
    </cfRule>
  </conditionalFormatting>
  <conditionalFormatting sqref="L13">
    <cfRule type="cellIs" dxfId="40" priority="2" operator="greaterThanOrEqual">
      <formula>$K$13</formula>
    </cfRule>
  </conditionalFormatting>
  <conditionalFormatting sqref="L14">
    <cfRule type="cellIs" dxfId="39" priority="1" operator="greaterThanOrEqual">
      <formula>$K$14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BD91-5171-4CB3-8123-8D0ACB4D6B10}">
  <sheetPr>
    <tabColor theme="4" tint="0.79998168889431442"/>
  </sheetPr>
  <dimension ref="A1:F10"/>
  <sheetViews>
    <sheetView zoomScale="205" zoomScaleNormal="205" workbookViewId="0">
      <selection activeCell="B3" sqref="B3:C3"/>
    </sheetView>
  </sheetViews>
  <sheetFormatPr defaultRowHeight="15" x14ac:dyDescent="0.35"/>
  <cols>
    <col min="1" max="1" width="8.7265625" style="10"/>
    <col min="2" max="2" width="8.6328125" style="10" customWidth="1"/>
    <col min="3" max="3" width="8.7265625" style="10" customWidth="1"/>
    <col min="4" max="5" width="10.26953125" style="10" bestFit="1" customWidth="1"/>
    <col min="6" max="6" width="8.7265625" style="10"/>
    <col min="7" max="8" width="17.453125" style="10" customWidth="1"/>
    <col min="9" max="16384" width="8.7265625" style="10"/>
  </cols>
  <sheetData>
    <row r="1" spans="1:6" ht="10" customHeight="1" thickBot="1" x14ac:dyDescent="0.4">
      <c r="A1" s="9"/>
      <c r="B1" s="9"/>
      <c r="C1" s="9"/>
      <c r="D1" s="9"/>
      <c r="E1" s="9"/>
      <c r="F1" s="9"/>
    </row>
    <row r="2" spans="1:6" ht="15" customHeight="1" x14ac:dyDescent="0.35">
      <c r="A2" s="9"/>
      <c r="B2" s="163" t="s">
        <v>6</v>
      </c>
      <c r="C2" s="164"/>
      <c r="D2" s="164"/>
      <c r="E2" s="165"/>
      <c r="F2" s="9"/>
    </row>
    <row r="3" spans="1:6" ht="15" customHeight="1" x14ac:dyDescent="0.35">
      <c r="A3" s="9"/>
      <c r="B3" s="166" t="s">
        <v>7</v>
      </c>
      <c r="C3" s="167"/>
      <c r="D3" s="11"/>
      <c r="E3" s="12"/>
      <c r="F3" s="9"/>
    </row>
    <row r="4" spans="1:6" x14ac:dyDescent="0.35">
      <c r="A4" s="9"/>
      <c r="B4" s="13"/>
      <c r="C4" s="14"/>
      <c r="D4" s="15"/>
      <c r="E4" s="16"/>
      <c r="F4" s="9"/>
    </row>
    <row r="5" spans="1:6" x14ac:dyDescent="0.35">
      <c r="A5" s="9"/>
      <c r="B5" s="13"/>
      <c r="C5" s="14"/>
      <c r="D5" s="15"/>
      <c r="E5" s="16"/>
      <c r="F5" s="9"/>
    </row>
    <row r="6" spans="1:6" x14ac:dyDescent="0.35">
      <c r="A6" s="9"/>
      <c r="B6" s="13"/>
      <c r="C6" s="14"/>
      <c r="D6" s="15"/>
      <c r="E6" s="16"/>
      <c r="F6" s="9"/>
    </row>
    <row r="7" spans="1:6" x14ac:dyDescent="0.35">
      <c r="A7" s="9"/>
      <c r="B7" s="13"/>
      <c r="C7" s="14"/>
      <c r="D7" s="15"/>
      <c r="E7" s="16"/>
      <c r="F7" s="9"/>
    </row>
    <row r="8" spans="1:6" x14ac:dyDescent="0.35">
      <c r="A8" s="9"/>
      <c r="B8" s="13"/>
      <c r="C8" s="14"/>
      <c r="D8" s="15"/>
      <c r="E8" s="16"/>
      <c r="F8" s="9"/>
    </row>
    <row r="9" spans="1:6" ht="15.5" thickBot="1" x14ac:dyDescent="0.4">
      <c r="A9" s="9"/>
      <c r="B9" s="17"/>
      <c r="C9" s="18"/>
      <c r="D9" s="19"/>
      <c r="E9" s="20"/>
      <c r="F9" s="9"/>
    </row>
    <row r="10" spans="1:6" ht="10" customHeight="1" x14ac:dyDescent="0.35">
      <c r="A10" s="9"/>
      <c r="B10" s="9"/>
      <c r="C10" s="9"/>
      <c r="D10" s="9"/>
      <c r="E10" s="9"/>
      <c r="F10" s="9"/>
    </row>
  </sheetData>
  <mergeCells count="2">
    <mergeCell ref="B2:E2"/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96EB-4B80-467C-B6B5-A74864E74A4E}">
  <sheetPr>
    <tabColor theme="4" tint="0.79998168889431442"/>
  </sheetPr>
  <dimension ref="B1:AK255"/>
  <sheetViews>
    <sheetView zoomScale="175" zoomScaleNormal="175" workbookViewId="0">
      <pane xSplit="12" ySplit="5" topLeftCell="N6" activePane="bottomRight" state="frozen"/>
      <selection pane="topRight" activeCell="M1" sqref="M1"/>
      <selection pane="bottomLeft" activeCell="A11" sqref="A11"/>
      <selection pane="bottomRight" activeCell="F2" sqref="F2:I4"/>
    </sheetView>
  </sheetViews>
  <sheetFormatPr defaultRowHeight="13" x14ac:dyDescent="0.4"/>
  <cols>
    <col min="1" max="1" width="8.7265625" style="1"/>
    <col min="2" max="3" width="8.7265625" style="1" customWidth="1"/>
    <col min="4" max="4" width="8.7265625" style="1"/>
    <col min="5" max="5" width="1.81640625" style="1" customWidth="1"/>
    <col min="6" max="8" width="8.7265625" style="1"/>
    <col min="9" max="9" width="1.81640625" style="1" customWidth="1"/>
    <col min="10" max="12" width="8.7265625" style="1"/>
    <col min="13" max="13" width="1.81640625" style="1" customWidth="1"/>
    <col min="14" max="37" width="4.1796875" style="1" customWidth="1"/>
    <col min="38" max="16384" width="8.7265625" style="1"/>
  </cols>
  <sheetData>
    <row r="1" spans="2:37" ht="10" customHeight="1" thickBot="1" x14ac:dyDescent="0.45"/>
    <row r="2" spans="2:37" ht="15.5" customHeight="1" thickBot="1" x14ac:dyDescent="0.45">
      <c r="D2" s="68"/>
      <c r="E2" s="68"/>
      <c r="F2" s="70"/>
      <c r="G2" s="174"/>
      <c r="H2" s="174"/>
      <c r="I2" s="175"/>
      <c r="J2" s="176" cm="1">
        <f t="array" ref="J2">SUMPRODUCT(Savings!$D6:$F255*((Savings!$G6:$I255="Savings")*((Savings!$J6:$L255="Load")+(Savings!$J6:$L255="Interest")+(Savings!$J6:$L255="Save"))))</f>
        <v>0</v>
      </c>
      <c r="K2" s="177"/>
      <c r="L2" s="178"/>
      <c r="N2" s="116" t="s">
        <v>31</v>
      </c>
      <c r="O2" s="117"/>
      <c r="P2" s="189" t="s">
        <v>32</v>
      </c>
      <c r="Q2" s="117"/>
      <c r="R2" s="189" t="s">
        <v>33</v>
      </c>
      <c r="S2" s="117"/>
      <c r="T2" s="189" t="s">
        <v>34</v>
      </c>
      <c r="U2" s="117"/>
      <c r="V2" s="189" t="s">
        <v>35</v>
      </c>
      <c r="W2" s="117"/>
      <c r="X2" s="189" t="s">
        <v>36</v>
      </c>
      <c r="Y2" s="117"/>
      <c r="Z2" s="189" t="s">
        <v>37</v>
      </c>
      <c r="AA2" s="117"/>
      <c r="AB2" s="189" t="s">
        <v>38</v>
      </c>
      <c r="AC2" s="117"/>
      <c r="AD2" s="189" t="s">
        <v>39</v>
      </c>
      <c r="AE2" s="117"/>
      <c r="AF2" s="189" t="s">
        <v>40</v>
      </c>
      <c r="AG2" s="117"/>
      <c r="AH2" s="189" t="s">
        <v>41</v>
      </c>
      <c r="AI2" s="117"/>
      <c r="AJ2" s="189" t="s">
        <v>42</v>
      </c>
      <c r="AK2" s="117"/>
    </row>
    <row r="3" spans="2:37" ht="15.5" customHeight="1" thickBot="1" x14ac:dyDescent="0.45">
      <c r="D3" s="68"/>
      <c r="E3" s="68"/>
      <c r="F3" s="70"/>
      <c r="G3" s="174"/>
      <c r="H3" s="174"/>
      <c r="I3" s="175"/>
      <c r="J3" s="179" cm="1">
        <f t="array" ref="J3">SUMPRODUCT(Savings!$D6:$F255*((Savings!$G6:$I255="pookie")*(Savings!$J6:$L255="Interest"))) + PRODUCT(50, SUM(O3:O4,Q3:Q4,S3:S4,U3:U4,W3:W4,Y3:Y4,AC3:AC4,AE3:AE4,AG3:AG4,AI3:AI4,AK3:AK4))</f>
        <v>0</v>
      </c>
      <c r="K3" s="180"/>
      <c r="L3" s="181"/>
      <c r="N3" s="187">
        <v>31</v>
      </c>
      <c r="O3" s="81">
        <v>0</v>
      </c>
      <c r="P3" s="136">
        <v>28</v>
      </c>
      <c r="Q3" s="81">
        <v>0</v>
      </c>
      <c r="R3" s="136">
        <v>31</v>
      </c>
      <c r="S3" s="81">
        <v>0</v>
      </c>
      <c r="T3" s="136">
        <v>30</v>
      </c>
      <c r="U3" s="81">
        <v>0</v>
      </c>
      <c r="V3" s="136">
        <v>31</v>
      </c>
      <c r="W3" s="81">
        <v>0</v>
      </c>
      <c r="X3" s="136">
        <v>30</v>
      </c>
      <c r="Y3" s="81">
        <v>0</v>
      </c>
      <c r="Z3" s="136">
        <v>31</v>
      </c>
      <c r="AA3" s="81">
        <v>0</v>
      </c>
      <c r="AB3" s="136">
        <v>31</v>
      </c>
      <c r="AC3" s="81">
        <v>0</v>
      </c>
      <c r="AD3" s="136">
        <v>30</v>
      </c>
      <c r="AE3" s="81">
        <v>0</v>
      </c>
      <c r="AF3" s="136">
        <v>31</v>
      </c>
      <c r="AG3" s="81">
        <v>0</v>
      </c>
      <c r="AH3" s="136">
        <v>30</v>
      </c>
      <c r="AI3" s="81">
        <v>0</v>
      </c>
      <c r="AJ3" s="136">
        <v>31</v>
      </c>
      <c r="AK3" s="81">
        <v>0</v>
      </c>
    </row>
    <row r="4" spans="2:37" ht="15.5" customHeight="1" thickBot="1" x14ac:dyDescent="0.45">
      <c r="D4" s="69"/>
      <c r="E4" s="69"/>
      <c r="F4" s="70"/>
      <c r="G4" s="174"/>
      <c r="H4" s="174"/>
      <c r="I4" s="175"/>
      <c r="J4" s="182" cm="1">
        <f t="array" ref="J4">SUMPRODUCT(Savings!$D6:$F255*((Savings!$G6:$I255="Personal")*((Savings!$J6:$L255="Load")+(Savings!$J6:$L255="Interest")+(Savings!$J6:$L255="Save"))))</f>
        <v>0</v>
      </c>
      <c r="K4" s="183"/>
      <c r="L4" s="184"/>
      <c r="N4" s="188"/>
      <c r="O4" s="82">
        <v>0</v>
      </c>
      <c r="P4" s="190"/>
      <c r="Q4" s="82">
        <v>0</v>
      </c>
      <c r="R4" s="190"/>
      <c r="S4" s="82">
        <v>0</v>
      </c>
      <c r="T4" s="190"/>
      <c r="U4" s="82">
        <v>0</v>
      </c>
      <c r="V4" s="190"/>
      <c r="W4" s="82">
        <v>0</v>
      </c>
      <c r="X4" s="190"/>
      <c r="Y4" s="82">
        <v>0</v>
      </c>
      <c r="Z4" s="190"/>
      <c r="AA4" s="82">
        <v>0</v>
      </c>
      <c r="AB4" s="190"/>
      <c r="AC4" s="82">
        <v>0</v>
      </c>
      <c r="AD4" s="190"/>
      <c r="AE4" s="82">
        <v>0</v>
      </c>
      <c r="AF4" s="190"/>
      <c r="AG4" s="82">
        <v>0</v>
      </c>
      <c r="AH4" s="190"/>
      <c r="AI4" s="82">
        <v>0</v>
      </c>
      <c r="AJ4" s="190"/>
      <c r="AK4" s="82">
        <v>0</v>
      </c>
    </row>
    <row r="5" spans="2:37" x14ac:dyDescent="0.4">
      <c r="B5" s="116" t="s">
        <v>2</v>
      </c>
      <c r="C5" s="147"/>
      <c r="D5" s="147" t="s">
        <v>3</v>
      </c>
      <c r="E5" s="147"/>
      <c r="F5" s="147"/>
      <c r="G5" s="147" t="s">
        <v>30</v>
      </c>
      <c r="H5" s="147"/>
      <c r="I5" s="147"/>
      <c r="J5" s="147" t="s">
        <v>5</v>
      </c>
      <c r="K5" s="147"/>
      <c r="L5" s="117"/>
    </row>
    <row r="6" spans="2:37" x14ac:dyDescent="0.4">
      <c r="B6" s="168"/>
      <c r="C6" s="169"/>
      <c r="D6" s="170"/>
      <c r="E6" s="170"/>
      <c r="F6" s="170"/>
      <c r="G6" s="173"/>
      <c r="H6" s="173"/>
      <c r="I6" s="173"/>
      <c r="J6" s="118"/>
      <c r="K6" s="118"/>
      <c r="L6" s="119"/>
    </row>
    <row r="7" spans="2:37" x14ac:dyDescent="0.4">
      <c r="B7" s="168"/>
      <c r="C7" s="169"/>
      <c r="D7" s="170"/>
      <c r="E7" s="170"/>
      <c r="F7" s="170"/>
      <c r="G7" s="171"/>
      <c r="H7" s="171"/>
      <c r="I7" s="171"/>
      <c r="J7" s="118"/>
      <c r="K7" s="118"/>
      <c r="L7" s="119"/>
    </row>
    <row r="8" spans="2:37" x14ac:dyDescent="0.4">
      <c r="B8" s="168"/>
      <c r="C8" s="169"/>
      <c r="D8" s="170"/>
      <c r="E8" s="170"/>
      <c r="F8" s="170"/>
      <c r="G8" s="171"/>
      <c r="H8" s="171"/>
      <c r="I8" s="171"/>
      <c r="J8" s="118"/>
      <c r="K8" s="118"/>
      <c r="L8" s="119"/>
    </row>
    <row r="9" spans="2:37" x14ac:dyDescent="0.4">
      <c r="B9" s="168"/>
      <c r="C9" s="169"/>
      <c r="D9" s="172"/>
      <c r="E9" s="172"/>
      <c r="F9" s="172"/>
      <c r="G9" s="132"/>
      <c r="H9" s="132"/>
      <c r="I9" s="132"/>
      <c r="J9" s="118"/>
      <c r="K9" s="118"/>
      <c r="L9" s="119"/>
    </row>
    <row r="10" spans="2:37" x14ac:dyDescent="0.4">
      <c r="B10" s="139"/>
      <c r="C10" s="140"/>
      <c r="D10" s="172"/>
      <c r="E10" s="172"/>
      <c r="F10" s="172"/>
      <c r="G10" s="132"/>
      <c r="H10" s="132"/>
      <c r="I10" s="132"/>
      <c r="J10" s="185"/>
      <c r="K10" s="185"/>
      <c r="L10" s="186"/>
    </row>
    <row r="11" spans="2:37" x14ac:dyDescent="0.4">
      <c r="B11" s="139"/>
      <c r="C11" s="140"/>
      <c r="D11" s="172"/>
      <c r="E11" s="172"/>
      <c r="F11" s="172"/>
      <c r="G11" s="132"/>
      <c r="H11" s="132"/>
      <c r="I11" s="132"/>
      <c r="J11" s="185"/>
      <c r="K11" s="185"/>
      <c r="L11" s="186"/>
    </row>
    <row r="12" spans="2:37" x14ac:dyDescent="0.4">
      <c r="B12" s="139"/>
      <c r="C12" s="140"/>
      <c r="D12" s="172"/>
      <c r="E12" s="172"/>
      <c r="F12" s="172"/>
      <c r="G12" s="132"/>
      <c r="H12" s="132"/>
      <c r="I12" s="132"/>
      <c r="J12" s="185"/>
      <c r="K12" s="185"/>
      <c r="L12" s="186"/>
    </row>
    <row r="13" spans="2:37" x14ac:dyDescent="0.4">
      <c r="B13" s="139"/>
      <c r="C13" s="140"/>
      <c r="D13" s="172"/>
      <c r="E13" s="172"/>
      <c r="F13" s="172"/>
      <c r="G13" s="132"/>
      <c r="H13" s="132"/>
      <c r="I13" s="132"/>
      <c r="J13" s="185"/>
      <c r="K13" s="185"/>
      <c r="L13" s="186"/>
    </row>
    <row r="14" spans="2:37" x14ac:dyDescent="0.4">
      <c r="B14" s="139"/>
      <c r="C14" s="140"/>
      <c r="D14" s="172"/>
      <c r="E14" s="172"/>
      <c r="F14" s="172"/>
      <c r="G14" s="132"/>
      <c r="H14" s="132"/>
      <c r="I14" s="132"/>
      <c r="J14" s="185"/>
      <c r="K14" s="185"/>
      <c r="L14" s="186"/>
    </row>
    <row r="15" spans="2:37" x14ac:dyDescent="0.4">
      <c r="B15" s="139"/>
      <c r="C15" s="140"/>
      <c r="D15" s="172"/>
      <c r="E15" s="172"/>
      <c r="F15" s="172"/>
      <c r="G15" s="132"/>
      <c r="H15" s="132"/>
      <c r="I15" s="132"/>
      <c r="J15" s="185"/>
      <c r="K15" s="185"/>
      <c r="L15" s="186"/>
    </row>
    <row r="16" spans="2:37" x14ac:dyDescent="0.4">
      <c r="B16" s="139"/>
      <c r="C16" s="140"/>
      <c r="D16" s="172"/>
      <c r="E16" s="172"/>
      <c r="F16" s="172"/>
      <c r="G16" s="132"/>
      <c r="H16" s="132"/>
      <c r="I16" s="132"/>
      <c r="J16" s="185"/>
      <c r="K16" s="185"/>
      <c r="L16" s="186"/>
    </row>
    <row r="17" spans="2:12" x14ac:dyDescent="0.4">
      <c r="B17" s="139"/>
      <c r="C17" s="140"/>
      <c r="D17" s="172"/>
      <c r="E17" s="172"/>
      <c r="F17" s="172"/>
      <c r="G17" s="132"/>
      <c r="H17" s="132"/>
      <c r="I17" s="132"/>
      <c r="J17" s="185"/>
      <c r="K17" s="185"/>
      <c r="L17" s="186"/>
    </row>
    <row r="18" spans="2:12" x14ac:dyDescent="0.4">
      <c r="B18" s="139"/>
      <c r="C18" s="140"/>
      <c r="D18" s="172"/>
      <c r="E18" s="172"/>
      <c r="F18" s="172"/>
      <c r="G18" s="132"/>
      <c r="H18" s="132"/>
      <c r="I18" s="132"/>
      <c r="J18" s="185"/>
      <c r="K18" s="185"/>
      <c r="L18" s="186"/>
    </row>
    <row r="19" spans="2:12" x14ac:dyDescent="0.4">
      <c r="B19" s="139"/>
      <c r="C19" s="140"/>
      <c r="D19" s="172"/>
      <c r="E19" s="172"/>
      <c r="F19" s="172"/>
      <c r="G19" s="132"/>
      <c r="H19" s="132"/>
      <c r="I19" s="132"/>
      <c r="J19" s="185"/>
      <c r="K19" s="185"/>
      <c r="L19" s="186"/>
    </row>
    <row r="20" spans="2:12" x14ac:dyDescent="0.4">
      <c r="B20" s="139"/>
      <c r="C20" s="140"/>
      <c r="D20" s="172"/>
      <c r="E20" s="172"/>
      <c r="F20" s="172"/>
      <c r="G20" s="132"/>
      <c r="H20" s="132"/>
      <c r="I20" s="132"/>
      <c r="J20" s="185"/>
      <c r="K20" s="185"/>
      <c r="L20" s="186"/>
    </row>
    <row r="21" spans="2:12" x14ac:dyDescent="0.4">
      <c r="B21" s="139"/>
      <c r="C21" s="140"/>
      <c r="D21" s="172"/>
      <c r="E21" s="172"/>
      <c r="F21" s="172"/>
      <c r="G21" s="132"/>
      <c r="H21" s="132"/>
      <c r="I21" s="132"/>
      <c r="J21" s="185"/>
      <c r="K21" s="185"/>
      <c r="L21" s="186"/>
    </row>
    <row r="22" spans="2:12" x14ac:dyDescent="0.4">
      <c r="B22" s="139"/>
      <c r="C22" s="140"/>
      <c r="D22" s="172"/>
      <c r="E22" s="172"/>
      <c r="F22" s="172"/>
      <c r="G22" s="132"/>
      <c r="H22" s="132"/>
      <c r="I22" s="132"/>
      <c r="J22" s="185"/>
      <c r="K22" s="185"/>
      <c r="L22" s="186"/>
    </row>
    <row r="23" spans="2:12" x14ac:dyDescent="0.4">
      <c r="B23" s="139"/>
      <c r="C23" s="140"/>
      <c r="D23" s="172"/>
      <c r="E23" s="172"/>
      <c r="F23" s="172"/>
      <c r="G23" s="132"/>
      <c r="H23" s="132"/>
      <c r="I23" s="132"/>
      <c r="J23" s="185"/>
      <c r="K23" s="185"/>
      <c r="L23" s="186"/>
    </row>
    <row r="24" spans="2:12" x14ac:dyDescent="0.4">
      <c r="B24" s="139"/>
      <c r="C24" s="140"/>
      <c r="D24" s="172"/>
      <c r="E24" s="172"/>
      <c r="F24" s="172"/>
      <c r="G24" s="132"/>
      <c r="H24" s="132"/>
      <c r="I24" s="132"/>
      <c r="J24" s="185"/>
      <c r="K24" s="185"/>
      <c r="L24" s="186"/>
    </row>
    <row r="25" spans="2:12" x14ac:dyDescent="0.4">
      <c r="B25" s="139"/>
      <c r="C25" s="140"/>
      <c r="D25" s="172"/>
      <c r="E25" s="172"/>
      <c r="F25" s="172"/>
      <c r="G25" s="132"/>
      <c r="H25" s="132"/>
      <c r="I25" s="132"/>
      <c r="J25" s="185"/>
      <c r="K25" s="185"/>
      <c r="L25" s="186"/>
    </row>
    <row r="26" spans="2:12" x14ac:dyDescent="0.4">
      <c r="B26" s="139"/>
      <c r="C26" s="140"/>
      <c r="D26" s="172"/>
      <c r="E26" s="172"/>
      <c r="F26" s="172"/>
      <c r="G26" s="132"/>
      <c r="H26" s="132"/>
      <c r="I26" s="132"/>
      <c r="J26" s="185"/>
      <c r="K26" s="185"/>
      <c r="L26" s="186"/>
    </row>
    <row r="27" spans="2:12" x14ac:dyDescent="0.4">
      <c r="B27" s="139"/>
      <c r="C27" s="140"/>
      <c r="D27" s="172"/>
      <c r="E27" s="172"/>
      <c r="F27" s="172"/>
      <c r="G27" s="132"/>
      <c r="H27" s="132"/>
      <c r="I27" s="132"/>
      <c r="J27" s="185"/>
      <c r="K27" s="185"/>
      <c r="L27" s="186"/>
    </row>
    <row r="28" spans="2:12" x14ac:dyDescent="0.4">
      <c r="B28" s="139"/>
      <c r="C28" s="140"/>
      <c r="D28" s="172"/>
      <c r="E28" s="172"/>
      <c r="F28" s="172"/>
      <c r="G28" s="132"/>
      <c r="H28" s="132"/>
      <c r="I28" s="132"/>
      <c r="J28" s="185"/>
      <c r="K28" s="185"/>
      <c r="L28" s="186"/>
    </row>
    <row r="29" spans="2:12" x14ac:dyDescent="0.4">
      <c r="B29" s="139"/>
      <c r="C29" s="140"/>
      <c r="D29" s="172"/>
      <c r="E29" s="172"/>
      <c r="F29" s="172"/>
      <c r="G29" s="132"/>
      <c r="H29" s="132"/>
      <c r="I29" s="132"/>
      <c r="J29" s="185"/>
      <c r="K29" s="185"/>
      <c r="L29" s="186"/>
    </row>
    <row r="30" spans="2:12" x14ac:dyDescent="0.4">
      <c r="B30" s="139"/>
      <c r="C30" s="140"/>
      <c r="D30" s="172"/>
      <c r="E30" s="172"/>
      <c r="F30" s="172"/>
      <c r="G30" s="132"/>
      <c r="H30" s="132"/>
      <c r="I30" s="132"/>
      <c r="J30" s="185"/>
      <c r="K30" s="185"/>
      <c r="L30" s="186"/>
    </row>
    <row r="31" spans="2:12" x14ac:dyDescent="0.4">
      <c r="B31" s="139"/>
      <c r="C31" s="140"/>
      <c r="D31" s="172"/>
      <c r="E31" s="172"/>
      <c r="F31" s="172"/>
      <c r="G31" s="132"/>
      <c r="H31" s="132"/>
      <c r="I31" s="132"/>
      <c r="J31" s="185"/>
      <c r="K31" s="185"/>
      <c r="L31" s="186"/>
    </row>
    <row r="32" spans="2:12" x14ac:dyDescent="0.4">
      <c r="B32" s="139"/>
      <c r="C32" s="140"/>
      <c r="D32" s="172"/>
      <c r="E32" s="172"/>
      <c r="F32" s="172"/>
      <c r="G32" s="132"/>
      <c r="H32" s="132"/>
      <c r="I32" s="132"/>
      <c r="J32" s="185"/>
      <c r="K32" s="185"/>
      <c r="L32" s="186"/>
    </row>
    <row r="33" spans="2:12" x14ac:dyDescent="0.4">
      <c r="B33" s="139"/>
      <c r="C33" s="140"/>
      <c r="D33" s="172"/>
      <c r="E33" s="172"/>
      <c r="F33" s="172"/>
      <c r="G33" s="132"/>
      <c r="H33" s="132"/>
      <c r="I33" s="132"/>
      <c r="J33" s="185"/>
      <c r="K33" s="185"/>
      <c r="L33" s="186"/>
    </row>
    <row r="34" spans="2:12" x14ac:dyDescent="0.4">
      <c r="B34" s="139"/>
      <c r="C34" s="140"/>
      <c r="D34" s="172"/>
      <c r="E34" s="172"/>
      <c r="F34" s="172"/>
      <c r="G34" s="132"/>
      <c r="H34" s="132"/>
      <c r="I34" s="132"/>
      <c r="J34" s="185"/>
      <c r="K34" s="185"/>
      <c r="L34" s="186"/>
    </row>
    <row r="35" spans="2:12" x14ac:dyDescent="0.4">
      <c r="B35" s="139"/>
      <c r="C35" s="140"/>
      <c r="D35" s="172"/>
      <c r="E35" s="172"/>
      <c r="F35" s="172"/>
      <c r="G35" s="132"/>
      <c r="H35" s="132"/>
      <c r="I35" s="132"/>
      <c r="J35" s="185"/>
      <c r="K35" s="185"/>
      <c r="L35" s="186"/>
    </row>
    <row r="36" spans="2:12" x14ac:dyDescent="0.4">
      <c r="B36" s="139"/>
      <c r="C36" s="140"/>
      <c r="D36" s="172"/>
      <c r="E36" s="172"/>
      <c r="F36" s="172"/>
      <c r="G36" s="132"/>
      <c r="H36" s="132"/>
      <c r="I36" s="132"/>
      <c r="J36" s="185"/>
      <c r="K36" s="185"/>
      <c r="L36" s="186"/>
    </row>
    <row r="37" spans="2:12" x14ac:dyDescent="0.4">
      <c r="B37" s="139"/>
      <c r="C37" s="140"/>
      <c r="D37" s="172"/>
      <c r="E37" s="172"/>
      <c r="F37" s="172"/>
      <c r="G37" s="132"/>
      <c r="H37" s="132"/>
      <c r="I37" s="132"/>
      <c r="J37" s="185"/>
      <c r="K37" s="185"/>
      <c r="L37" s="186"/>
    </row>
    <row r="38" spans="2:12" x14ac:dyDescent="0.4">
      <c r="B38" s="139"/>
      <c r="C38" s="140"/>
      <c r="D38" s="172"/>
      <c r="E38" s="172"/>
      <c r="F38" s="172"/>
      <c r="G38" s="132"/>
      <c r="H38" s="132"/>
      <c r="I38" s="132"/>
      <c r="J38" s="185"/>
      <c r="K38" s="185"/>
      <c r="L38" s="186"/>
    </row>
    <row r="39" spans="2:12" x14ac:dyDescent="0.4">
      <c r="B39" s="139"/>
      <c r="C39" s="140"/>
      <c r="D39" s="172"/>
      <c r="E39" s="172"/>
      <c r="F39" s="172"/>
      <c r="G39" s="132"/>
      <c r="H39" s="132"/>
      <c r="I39" s="132"/>
      <c r="J39" s="185"/>
      <c r="K39" s="185"/>
      <c r="L39" s="186"/>
    </row>
    <row r="40" spans="2:12" x14ac:dyDescent="0.4">
      <c r="B40" s="139"/>
      <c r="C40" s="140"/>
      <c r="D40" s="172"/>
      <c r="E40" s="172"/>
      <c r="F40" s="172"/>
      <c r="G40" s="132"/>
      <c r="H40" s="132"/>
      <c r="I40" s="132"/>
      <c r="J40" s="185"/>
      <c r="K40" s="185"/>
      <c r="L40" s="186"/>
    </row>
    <row r="41" spans="2:12" x14ac:dyDescent="0.4">
      <c r="B41" s="139"/>
      <c r="C41" s="140"/>
      <c r="D41" s="172"/>
      <c r="E41" s="172"/>
      <c r="F41" s="172"/>
      <c r="G41" s="132"/>
      <c r="H41" s="132"/>
      <c r="I41" s="132"/>
      <c r="J41" s="185"/>
      <c r="K41" s="185"/>
      <c r="L41" s="186"/>
    </row>
    <row r="42" spans="2:12" x14ac:dyDescent="0.4">
      <c r="B42" s="139"/>
      <c r="C42" s="140"/>
      <c r="D42" s="172"/>
      <c r="E42" s="172"/>
      <c r="F42" s="172"/>
      <c r="G42" s="132"/>
      <c r="H42" s="132"/>
      <c r="I42" s="132"/>
      <c r="J42" s="185"/>
      <c r="K42" s="185"/>
      <c r="L42" s="186"/>
    </row>
    <row r="43" spans="2:12" x14ac:dyDescent="0.4">
      <c r="B43" s="139"/>
      <c r="C43" s="140"/>
      <c r="D43" s="172"/>
      <c r="E43" s="172"/>
      <c r="F43" s="172"/>
      <c r="G43" s="132"/>
      <c r="H43" s="132"/>
      <c r="I43" s="132"/>
      <c r="J43" s="185"/>
      <c r="K43" s="185"/>
      <c r="L43" s="186"/>
    </row>
    <row r="44" spans="2:12" x14ac:dyDescent="0.4">
      <c r="B44" s="139"/>
      <c r="C44" s="140"/>
      <c r="D44" s="172"/>
      <c r="E44" s="172"/>
      <c r="F44" s="172"/>
      <c r="G44" s="132"/>
      <c r="H44" s="132"/>
      <c r="I44" s="132"/>
      <c r="J44" s="185"/>
      <c r="K44" s="185"/>
      <c r="L44" s="186"/>
    </row>
    <row r="45" spans="2:12" x14ac:dyDescent="0.4">
      <c r="B45" s="139"/>
      <c r="C45" s="140"/>
      <c r="D45" s="172"/>
      <c r="E45" s="172"/>
      <c r="F45" s="172"/>
      <c r="G45" s="132"/>
      <c r="H45" s="132"/>
      <c r="I45" s="132"/>
      <c r="J45" s="185"/>
      <c r="K45" s="185"/>
      <c r="L45" s="186"/>
    </row>
    <row r="46" spans="2:12" x14ac:dyDescent="0.4">
      <c r="B46" s="139"/>
      <c r="C46" s="140"/>
      <c r="D46" s="172"/>
      <c r="E46" s="172"/>
      <c r="F46" s="172"/>
      <c r="G46" s="132"/>
      <c r="H46" s="132"/>
      <c r="I46" s="132"/>
      <c r="J46" s="185"/>
      <c r="K46" s="185"/>
      <c r="L46" s="186"/>
    </row>
    <row r="47" spans="2:12" x14ac:dyDescent="0.4">
      <c r="B47" s="139"/>
      <c r="C47" s="140"/>
      <c r="D47" s="172"/>
      <c r="E47" s="172"/>
      <c r="F47" s="172"/>
      <c r="G47" s="132"/>
      <c r="H47" s="132"/>
      <c r="I47" s="132"/>
      <c r="J47" s="185"/>
      <c r="K47" s="185"/>
      <c r="L47" s="186"/>
    </row>
    <row r="48" spans="2:12" x14ac:dyDescent="0.4">
      <c r="B48" s="139"/>
      <c r="C48" s="140"/>
      <c r="D48" s="172"/>
      <c r="E48" s="172"/>
      <c r="F48" s="172"/>
      <c r="G48" s="132"/>
      <c r="H48" s="132"/>
      <c r="I48" s="132"/>
      <c r="J48" s="185"/>
      <c r="K48" s="185"/>
      <c r="L48" s="186"/>
    </row>
    <row r="49" spans="2:12" x14ac:dyDescent="0.4">
      <c r="B49" s="139"/>
      <c r="C49" s="140"/>
      <c r="D49" s="172"/>
      <c r="E49" s="172"/>
      <c r="F49" s="172"/>
      <c r="G49" s="132"/>
      <c r="H49" s="132"/>
      <c r="I49" s="132"/>
      <c r="J49" s="185"/>
      <c r="K49" s="185"/>
      <c r="L49" s="186"/>
    </row>
    <row r="50" spans="2:12" x14ac:dyDescent="0.4">
      <c r="B50" s="139"/>
      <c r="C50" s="140"/>
      <c r="D50" s="172"/>
      <c r="E50" s="172"/>
      <c r="F50" s="172"/>
      <c r="G50" s="132"/>
      <c r="H50" s="132"/>
      <c r="I50" s="132"/>
      <c r="J50" s="185"/>
      <c r="K50" s="185"/>
      <c r="L50" s="186"/>
    </row>
    <row r="51" spans="2:12" x14ac:dyDescent="0.4">
      <c r="B51" s="139"/>
      <c r="C51" s="140"/>
      <c r="D51" s="172"/>
      <c r="E51" s="172"/>
      <c r="F51" s="172"/>
      <c r="G51" s="132"/>
      <c r="H51" s="132"/>
      <c r="I51" s="132"/>
      <c r="J51" s="185"/>
      <c r="K51" s="185"/>
      <c r="L51" s="186"/>
    </row>
    <row r="52" spans="2:12" x14ac:dyDescent="0.4">
      <c r="B52" s="139"/>
      <c r="C52" s="140"/>
      <c r="D52" s="172"/>
      <c r="E52" s="172"/>
      <c r="F52" s="172"/>
      <c r="G52" s="132"/>
      <c r="H52" s="132"/>
      <c r="I52" s="132"/>
      <c r="J52" s="185"/>
      <c r="K52" s="185"/>
      <c r="L52" s="186"/>
    </row>
    <row r="53" spans="2:12" x14ac:dyDescent="0.4">
      <c r="B53" s="139"/>
      <c r="C53" s="140"/>
      <c r="D53" s="172"/>
      <c r="E53" s="172"/>
      <c r="F53" s="172"/>
      <c r="G53" s="132"/>
      <c r="H53" s="132"/>
      <c r="I53" s="132"/>
      <c r="J53" s="185"/>
      <c r="K53" s="185"/>
      <c r="L53" s="186"/>
    </row>
    <row r="54" spans="2:12" x14ac:dyDescent="0.4">
      <c r="B54" s="139"/>
      <c r="C54" s="140"/>
      <c r="D54" s="172"/>
      <c r="E54" s="172"/>
      <c r="F54" s="172"/>
      <c r="G54" s="132"/>
      <c r="H54" s="132"/>
      <c r="I54" s="132"/>
      <c r="J54" s="185"/>
      <c r="K54" s="185"/>
      <c r="L54" s="186"/>
    </row>
    <row r="55" spans="2:12" x14ac:dyDescent="0.4">
      <c r="B55" s="139"/>
      <c r="C55" s="140"/>
      <c r="D55" s="172"/>
      <c r="E55" s="172"/>
      <c r="F55" s="172"/>
      <c r="G55" s="132"/>
      <c r="H55" s="132"/>
      <c r="I55" s="132"/>
      <c r="J55" s="185"/>
      <c r="K55" s="185"/>
      <c r="L55" s="186"/>
    </row>
    <row r="56" spans="2:12" x14ac:dyDescent="0.4">
      <c r="B56" s="139"/>
      <c r="C56" s="140"/>
      <c r="D56" s="172"/>
      <c r="E56" s="172"/>
      <c r="F56" s="172"/>
      <c r="G56" s="132"/>
      <c r="H56" s="132"/>
      <c r="I56" s="132"/>
      <c r="J56" s="185"/>
      <c r="K56" s="185"/>
      <c r="L56" s="186"/>
    </row>
    <row r="57" spans="2:12" x14ac:dyDescent="0.4">
      <c r="B57" s="139"/>
      <c r="C57" s="140"/>
      <c r="D57" s="172"/>
      <c r="E57" s="172"/>
      <c r="F57" s="172"/>
      <c r="G57" s="132"/>
      <c r="H57" s="132"/>
      <c r="I57" s="132"/>
      <c r="J57" s="185"/>
      <c r="K57" s="185"/>
      <c r="L57" s="186"/>
    </row>
    <row r="58" spans="2:12" x14ac:dyDescent="0.4">
      <c r="B58" s="139"/>
      <c r="C58" s="140"/>
      <c r="D58" s="172"/>
      <c r="E58" s="172"/>
      <c r="F58" s="172"/>
      <c r="G58" s="132"/>
      <c r="H58" s="132"/>
      <c r="I58" s="132"/>
      <c r="J58" s="185"/>
      <c r="K58" s="185"/>
      <c r="L58" s="186"/>
    </row>
    <row r="59" spans="2:12" x14ac:dyDescent="0.4">
      <c r="B59" s="139"/>
      <c r="C59" s="140"/>
      <c r="D59" s="172"/>
      <c r="E59" s="172"/>
      <c r="F59" s="172"/>
      <c r="G59" s="132"/>
      <c r="H59" s="132"/>
      <c r="I59" s="132"/>
      <c r="J59" s="185"/>
      <c r="K59" s="185"/>
      <c r="L59" s="186"/>
    </row>
    <row r="60" spans="2:12" x14ac:dyDescent="0.4">
      <c r="B60" s="139"/>
      <c r="C60" s="140"/>
      <c r="D60" s="172"/>
      <c r="E60" s="172"/>
      <c r="F60" s="172"/>
      <c r="G60" s="132"/>
      <c r="H60" s="132"/>
      <c r="I60" s="132"/>
      <c r="J60" s="185"/>
      <c r="K60" s="185"/>
      <c r="L60" s="186"/>
    </row>
    <row r="61" spans="2:12" x14ac:dyDescent="0.4">
      <c r="B61" s="139"/>
      <c r="C61" s="140"/>
      <c r="D61" s="172"/>
      <c r="E61" s="172"/>
      <c r="F61" s="172"/>
      <c r="G61" s="132"/>
      <c r="H61" s="132"/>
      <c r="I61" s="132"/>
      <c r="J61" s="185"/>
      <c r="K61" s="185"/>
      <c r="L61" s="186"/>
    </row>
    <row r="62" spans="2:12" x14ac:dyDescent="0.4">
      <c r="B62" s="139"/>
      <c r="C62" s="140"/>
      <c r="D62" s="172"/>
      <c r="E62" s="172"/>
      <c r="F62" s="172"/>
      <c r="G62" s="132"/>
      <c r="H62" s="132"/>
      <c r="I62" s="132"/>
      <c r="J62" s="185"/>
      <c r="K62" s="185"/>
      <c r="L62" s="186"/>
    </row>
    <row r="63" spans="2:12" x14ac:dyDescent="0.4">
      <c r="B63" s="139"/>
      <c r="C63" s="140"/>
      <c r="D63" s="172"/>
      <c r="E63" s="172"/>
      <c r="F63" s="172"/>
      <c r="G63" s="132"/>
      <c r="H63" s="132"/>
      <c r="I63" s="132"/>
      <c r="J63" s="185"/>
      <c r="K63" s="185"/>
      <c r="L63" s="186"/>
    </row>
    <row r="64" spans="2:12" x14ac:dyDescent="0.4">
      <c r="B64" s="139"/>
      <c r="C64" s="140"/>
      <c r="D64" s="172"/>
      <c r="E64" s="172"/>
      <c r="F64" s="172"/>
      <c r="G64" s="132"/>
      <c r="H64" s="132"/>
      <c r="I64" s="132"/>
      <c r="J64" s="185"/>
      <c r="K64" s="185"/>
      <c r="L64" s="186"/>
    </row>
    <row r="65" spans="2:12" x14ac:dyDescent="0.4">
      <c r="B65" s="139"/>
      <c r="C65" s="140"/>
      <c r="D65" s="172"/>
      <c r="E65" s="172"/>
      <c r="F65" s="172"/>
      <c r="G65" s="132"/>
      <c r="H65" s="132"/>
      <c r="I65" s="132"/>
      <c r="J65" s="185"/>
      <c r="K65" s="185"/>
      <c r="L65" s="186"/>
    </row>
    <row r="66" spans="2:12" x14ac:dyDescent="0.4">
      <c r="B66" s="139"/>
      <c r="C66" s="140"/>
      <c r="D66" s="172"/>
      <c r="E66" s="172"/>
      <c r="F66" s="172"/>
      <c r="G66" s="132"/>
      <c r="H66" s="132"/>
      <c r="I66" s="132"/>
      <c r="J66" s="185"/>
      <c r="K66" s="185"/>
      <c r="L66" s="186"/>
    </row>
    <row r="67" spans="2:12" x14ac:dyDescent="0.4">
      <c r="B67" s="139"/>
      <c r="C67" s="140"/>
      <c r="D67" s="172"/>
      <c r="E67" s="172"/>
      <c r="F67" s="172"/>
      <c r="G67" s="132"/>
      <c r="H67" s="132"/>
      <c r="I67" s="132"/>
      <c r="J67" s="185"/>
      <c r="K67" s="185"/>
      <c r="L67" s="186"/>
    </row>
    <row r="68" spans="2:12" x14ac:dyDescent="0.4">
      <c r="B68" s="139"/>
      <c r="C68" s="140"/>
      <c r="D68" s="172"/>
      <c r="E68" s="172"/>
      <c r="F68" s="172"/>
      <c r="G68" s="132"/>
      <c r="H68" s="132"/>
      <c r="I68" s="132"/>
      <c r="J68" s="185"/>
      <c r="K68" s="185"/>
      <c r="L68" s="186"/>
    </row>
    <row r="69" spans="2:12" x14ac:dyDescent="0.4">
      <c r="B69" s="139"/>
      <c r="C69" s="140"/>
      <c r="D69" s="172"/>
      <c r="E69" s="172"/>
      <c r="F69" s="172"/>
      <c r="G69" s="132"/>
      <c r="H69" s="132"/>
      <c r="I69" s="132"/>
      <c r="J69" s="185"/>
      <c r="K69" s="185"/>
      <c r="L69" s="186"/>
    </row>
    <row r="70" spans="2:12" x14ac:dyDescent="0.4">
      <c r="B70" s="139"/>
      <c r="C70" s="140"/>
      <c r="D70" s="172"/>
      <c r="E70" s="172"/>
      <c r="F70" s="172"/>
      <c r="G70" s="132"/>
      <c r="H70" s="132"/>
      <c r="I70" s="132"/>
      <c r="J70" s="185"/>
      <c r="K70" s="185"/>
      <c r="L70" s="186"/>
    </row>
    <row r="71" spans="2:12" x14ac:dyDescent="0.4">
      <c r="B71" s="139"/>
      <c r="C71" s="140"/>
      <c r="D71" s="172"/>
      <c r="E71" s="172"/>
      <c r="F71" s="172"/>
      <c r="G71" s="132"/>
      <c r="H71" s="132"/>
      <c r="I71" s="132"/>
      <c r="J71" s="185"/>
      <c r="K71" s="185"/>
      <c r="L71" s="186"/>
    </row>
    <row r="72" spans="2:12" x14ac:dyDescent="0.4">
      <c r="B72" s="139"/>
      <c r="C72" s="140"/>
      <c r="D72" s="172"/>
      <c r="E72" s="172"/>
      <c r="F72" s="172"/>
      <c r="G72" s="132"/>
      <c r="H72" s="132"/>
      <c r="I72" s="132"/>
      <c r="J72" s="185"/>
      <c r="K72" s="185"/>
      <c r="L72" s="186"/>
    </row>
    <row r="73" spans="2:12" x14ac:dyDescent="0.4">
      <c r="B73" s="139"/>
      <c r="C73" s="140"/>
      <c r="D73" s="172"/>
      <c r="E73" s="172"/>
      <c r="F73" s="172"/>
      <c r="G73" s="132"/>
      <c r="H73" s="132"/>
      <c r="I73" s="132"/>
      <c r="J73" s="185"/>
      <c r="K73" s="185"/>
      <c r="L73" s="186"/>
    </row>
    <row r="74" spans="2:12" x14ac:dyDescent="0.4">
      <c r="B74" s="139"/>
      <c r="C74" s="140"/>
      <c r="D74" s="172"/>
      <c r="E74" s="172"/>
      <c r="F74" s="172"/>
      <c r="G74" s="132"/>
      <c r="H74" s="132"/>
      <c r="I74" s="132"/>
      <c r="J74" s="185"/>
      <c r="K74" s="185"/>
      <c r="L74" s="186"/>
    </row>
    <row r="75" spans="2:12" x14ac:dyDescent="0.4">
      <c r="B75" s="139"/>
      <c r="C75" s="140"/>
      <c r="D75" s="172"/>
      <c r="E75" s="172"/>
      <c r="F75" s="172"/>
      <c r="G75" s="132"/>
      <c r="H75" s="132"/>
      <c r="I75" s="132"/>
      <c r="J75" s="185"/>
      <c r="K75" s="185"/>
      <c r="L75" s="186"/>
    </row>
    <row r="76" spans="2:12" x14ac:dyDescent="0.4">
      <c r="B76" s="139"/>
      <c r="C76" s="140"/>
      <c r="D76" s="172"/>
      <c r="E76" s="172"/>
      <c r="F76" s="172"/>
      <c r="G76" s="132"/>
      <c r="H76" s="132"/>
      <c r="I76" s="132"/>
      <c r="J76" s="185"/>
      <c r="K76" s="185"/>
      <c r="L76" s="186"/>
    </row>
    <row r="77" spans="2:12" x14ac:dyDescent="0.4">
      <c r="B77" s="139"/>
      <c r="C77" s="140"/>
      <c r="D77" s="172"/>
      <c r="E77" s="172"/>
      <c r="F77" s="172"/>
      <c r="G77" s="132"/>
      <c r="H77" s="132"/>
      <c r="I77" s="132"/>
      <c r="J77" s="185"/>
      <c r="K77" s="185"/>
      <c r="L77" s="186"/>
    </row>
    <row r="78" spans="2:12" x14ac:dyDescent="0.4">
      <c r="B78" s="139"/>
      <c r="C78" s="140"/>
      <c r="D78" s="172"/>
      <c r="E78" s="172"/>
      <c r="F78" s="172"/>
      <c r="G78" s="132"/>
      <c r="H78" s="132"/>
      <c r="I78" s="132"/>
      <c r="J78" s="185"/>
      <c r="K78" s="185"/>
      <c r="L78" s="186"/>
    </row>
    <row r="79" spans="2:12" x14ac:dyDescent="0.4">
      <c r="B79" s="139"/>
      <c r="C79" s="140"/>
      <c r="D79" s="172"/>
      <c r="E79" s="172"/>
      <c r="F79" s="172"/>
      <c r="G79" s="132"/>
      <c r="H79" s="132"/>
      <c r="I79" s="132"/>
      <c r="J79" s="185"/>
      <c r="K79" s="185"/>
      <c r="L79" s="186"/>
    </row>
    <row r="80" spans="2:12" x14ac:dyDescent="0.4">
      <c r="B80" s="139"/>
      <c r="C80" s="140"/>
      <c r="D80" s="172"/>
      <c r="E80" s="172"/>
      <c r="F80" s="172"/>
      <c r="G80" s="132"/>
      <c r="H80" s="132"/>
      <c r="I80" s="132"/>
      <c r="J80" s="185"/>
      <c r="K80" s="185"/>
      <c r="L80" s="186"/>
    </row>
    <row r="81" spans="2:12" x14ac:dyDescent="0.4">
      <c r="B81" s="139"/>
      <c r="C81" s="140"/>
      <c r="D81" s="172"/>
      <c r="E81" s="172"/>
      <c r="F81" s="172"/>
      <c r="G81" s="132"/>
      <c r="H81" s="132"/>
      <c r="I81" s="132"/>
      <c r="J81" s="185"/>
      <c r="K81" s="185"/>
      <c r="L81" s="186"/>
    </row>
    <row r="82" spans="2:12" x14ac:dyDescent="0.4">
      <c r="B82" s="139"/>
      <c r="C82" s="140"/>
      <c r="D82" s="172"/>
      <c r="E82" s="172"/>
      <c r="F82" s="172"/>
      <c r="G82" s="132"/>
      <c r="H82" s="132"/>
      <c r="I82" s="132"/>
      <c r="J82" s="185"/>
      <c r="K82" s="185"/>
      <c r="L82" s="186"/>
    </row>
    <row r="83" spans="2:12" x14ac:dyDescent="0.4">
      <c r="B83" s="139"/>
      <c r="C83" s="140"/>
      <c r="D83" s="172"/>
      <c r="E83" s="172"/>
      <c r="F83" s="172"/>
      <c r="G83" s="132"/>
      <c r="H83" s="132"/>
      <c r="I83" s="132"/>
      <c r="J83" s="185"/>
      <c r="K83" s="185"/>
      <c r="L83" s="186"/>
    </row>
    <row r="84" spans="2:12" x14ac:dyDescent="0.4">
      <c r="B84" s="139"/>
      <c r="C84" s="140"/>
      <c r="D84" s="172"/>
      <c r="E84" s="172"/>
      <c r="F84" s="172"/>
      <c r="G84" s="132"/>
      <c r="H84" s="132"/>
      <c r="I84" s="132"/>
      <c r="J84" s="185"/>
      <c r="K84" s="185"/>
      <c r="L84" s="186"/>
    </row>
    <row r="85" spans="2:12" x14ac:dyDescent="0.4">
      <c r="B85" s="139"/>
      <c r="C85" s="140"/>
      <c r="D85" s="172"/>
      <c r="E85" s="172"/>
      <c r="F85" s="172"/>
      <c r="G85" s="132"/>
      <c r="H85" s="132"/>
      <c r="I85" s="132"/>
      <c r="J85" s="185"/>
      <c r="K85" s="185"/>
      <c r="L85" s="186"/>
    </row>
    <row r="86" spans="2:12" x14ac:dyDescent="0.4">
      <c r="B86" s="139"/>
      <c r="C86" s="140"/>
      <c r="D86" s="172"/>
      <c r="E86" s="172"/>
      <c r="F86" s="172"/>
      <c r="G86" s="132"/>
      <c r="H86" s="132"/>
      <c r="I86" s="132"/>
      <c r="J86" s="185"/>
      <c r="K86" s="185"/>
      <c r="L86" s="186"/>
    </row>
    <row r="87" spans="2:12" x14ac:dyDescent="0.4">
      <c r="B87" s="139"/>
      <c r="C87" s="140"/>
      <c r="D87" s="172"/>
      <c r="E87" s="172"/>
      <c r="F87" s="172"/>
      <c r="G87" s="132"/>
      <c r="H87" s="132"/>
      <c r="I87" s="132"/>
      <c r="J87" s="185"/>
      <c r="K87" s="185"/>
      <c r="L87" s="186"/>
    </row>
    <row r="88" spans="2:12" x14ac:dyDescent="0.4">
      <c r="B88" s="139"/>
      <c r="C88" s="140"/>
      <c r="D88" s="172"/>
      <c r="E88" s="172"/>
      <c r="F88" s="172"/>
      <c r="G88" s="132"/>
      <c r="H88" s="132"/>
      <c r="I88" s="132"/>
      <c r="J88" s="185"/>
      <c r="K88" s="185"/>
      <c r="L88" s="186"/>
    </row>
    <row r="89" spans="2:12" x14ac:dyDescent="0.4">
      <c r="B89" s="139"/>
      <c r="C89" s="140"/>
      <c r="D89" s="172"/>
      <c r="E89" s="172"/>
      <c r="F89" s="172"/>
      <c r="G89" s="132"/>
      <c r="H89" s="132"/>
      <c r="I89" s="132"/>
      <c r="J89" s="185"/>
      <c r="K89" s="185"/>
      <c r="L89" s="186"/>
    </row>
    <row r="90" spans="2:12" x14ac:dyDescent="0.4">
      <c r="B90" s="139"/>
      <c r="C90" s="140"/>
      <c r="D90" s="172"/>
      <c r="E90" s="172"/>
      <c r="F90" s="172"/>
      <c r="G90" s="132"/>
      <c r="H90" s="132"/>
      <c r="I90" s="132"/>
      <c r="J90" s="185"/>
      <c r="K90" s="185"/>
      <c r="L90" s="186"/>
    </row>
    <row r="91" spans="2:12" x14ac:dyDescent="0.4">
      <c r="B91" s="139"/>
      <c r="C91" s="140"/>
      <c r="D91" s="172"/>
      <c r="E91" s="172"/>
      <c r="F91" s="172"/>
      <c r="G91" s="132"/>
      <c r="H91" s="132"/>
      <c r="I91" s="132"/>
      <c r="J91" s="185"/>
      <c r="K91" s="185"/>
      <c r="L91" s="186"/>
    </row>
    <row r="92" spans="2:12" x14ac:dyDescent="0.4">
      <c r="B92" s="139"/>
      <c r="C92" s="140"/>
      <c r="D92" s="172"/>
      <c r="E92" s="172"/>
      <c r="F92" s="172"/>
      <c r="G92" s="132"/>
      <c r="H92" s="132"/>
      <c r="I92" s="132"/>
      <c r="J92" s="185"/>
      <c r="K92" s="185"/>
      <c r="L92" s="186"/>
    </row>
    <row r="93" spans="2:12" x14ac:dyDescent="0.4">
      <c r="B93" s="139"/>
      <c r="C93" s="140"/>
      <c r="D93" s="172"/>
      <c r="E93" s="172"/>
      <c r="F93" s="172"/>
      <c r="G93" s="132"/>
      <c r="H93" s="132"/>
      <c r="I93" s="132"/>
      <c r="J93" s="185"/>
      <c r="K93" s="185"/>
      <c r="L93" s="186"/>
    </row>
    <row r="94" spans="2:12" x14ac:dyDescent="0.4">
      <c r="B94" s="139"/>
      <c r="C94" s="140"/>
      <c r="D94" s="172"/>
      <c r="E94" s="172"/>
      <c r="F94" s="172"/>
      <c r="G94" s="132"/>
      <c r="H94" s="132"/>
      <c r="I94" s="132"/>
      <c r="J94" s="185"/>
      <c r="K94" s="185"/>
      <c r="L94" s="186"/>
    </row>
    <row r="95" spans="2:12" x14ac:dyDescent="0.4">
      <c r="B95" s="139"/>
      <c r="C95" s="140"/>
      <c r="D95" s="172"/>
      <c r="E95" s="172"/>
      <c r="F95" s="172"/>
      <c r="G95" s="132"/>
      <c r="H95" s="132"/>
      <c r="I95" s="132"/>
      <c r="J95" s="185"/>
      <c r="K95" s="185"/>
      <c r="L95" s="186"/>
    </row>
    <row r="96" spans="2:12" x14ac:dyDescent="0.4">
      <c r="B96" s="139"/>
      <c r="C96" s="140"/>
      <c r="D96" s="172"/>
      <c r="E96" s="172"/>
      <c r="F96" s="172"/>
      <c r="G96" s="132"/>
      <c r="H96" s="132"/>
      <c r="I96" s="132"/>
      <c r="J96" s="185"/>
      <c r="K96" s="185"/>
      <c r="L96" s="186"/>
    </row>
    <row r="97" spans="2:12" x14ac:dyDescent="0.4">
      <c r="B97" s="139"/>
      <c r="C97" s="140"/>
      <c r="D97" s="172"/>
      <c r="E97" s="172"/>
      <c r="F97" s="172"/>
      <c r="G97" s="132"/>
      <c r="H97" s="132"/>
      <c r="I97" s="132"/>
      <c r="J97" s="185"/>
      <c r="K97" s="185"/>
      <c r="L97" s="186"/>
    </row>
    <row r="98" spans="2:12" x14ac:dyDescent="0.4">
      <c r="B98" s="139"/>
      <c r="C98" s="140"/>
      <c r="D98" s="172"/>
      <c r="E98" s="172"/>
      <c r="F98" s="172"/>
      <c r="G98" s="132"/>
      <c r="H98" s="132"/>
      <c r="I98" s="132"/>
      <c r="J98" s="185"/>
      <c r="K98" s="185"/>
      <c r="L98" s="186"/>
    </row>
    <row r="99" spans="2:12" x14ac:dyDescent="0.4">
      <c r="B99" s="139"/>
      <c r="C99" s="140"/>
      <c r="D99" s="172"/>
      <c r="E99" s="172"/>
      <c r="F99" s="172"/>
      <c r="G99" s="132"/>
      <c r="H99" s="132"/>
      <c r="I99" s="132"/>
      <c r="J99" s="185"/>
      <c r="K99" s="185"/>
      <c r="L99" s="186"/>
    </row>
    <row r="100" spans="2:12" x14ac:dyDescent="0.4">
      <c r="B100" s="139"/>
      <c r="C100" s="140"/>
      <c r="D100" s="172"/>
      <c r="E100" s="172"/>
      <c r="F100" s="172"/>
      <c r="G100" s="132"/>
      <c r="H100" s="132"/>
      <c r="I100" s="132"/>
      <c r="J100" s="185"/>
      <c r="K100" s="185"/>
      <c r="L100" s="186"/>
    </row>
    <row r="101" spans="2:12" x14ac:dyDescent="0.4">
      <c r="B101" s="139"/>
      <c r="C101" s="140"/>
      <c r="D101" s="172"/>
      <c r="E101" s="172"/>
      <c r="F101" s="172"/>
      <c r="G101" s="132"/>
      <c r="H101" s="132"/>
      <c r="I101" s="132"/>
      <c r="J101" s="185"/>
      <c r="K101" s="185"/>
      <c r="L101" s="186"/>
    </row>
    <row r="102" spans="2:12" x14ac:dyDescent="0.4">
      <c r="B102" s="139"/>
      <c r="C102" s="140"/>
      <c r="D102" s="172"/>
      <c r="E102" s="172"/>
      <c r="F102" s="172"/>
      <c r="G102" s="132"/>
      <c r="H102" s="132"/>
      <c r="I102" s="132"/>
      <c r="J102" s="185"/>
      <c r="K102" s="185"/>
      <c r="L102" s="186"/>
    </row>
    <row r="103" spans="2:12" x14ac:dyDescent="0.4">
      <c r="B103" s="139"/>
      <c r="C103" s="140"/>
      <c r="D103" s="172"/>
      <c r="E103" s="172"/>
      <c r="F103" s="172"/>
      <c r="G103" s="132"/>
      <c r="H103" s="132"/>
      <c r="I103" s="132"/>
      <c r="J103" s="185"/>
      <c r="K103" s="185"/>
      <c r="L103" s="186"/>
    </row>
    <row r="104" spans="2:12" x14ac:dyDescent="0.4">
      <c r="B104" s="139"/>
      <c r="C104" s="140"/>
      <c r="D104" s="172"/>
      <c r="E104" s="172"/>
      <c r="F104" s="172"/>
      <c r="G104" s="132"/>
      <c r="H104" s="132"/>
      <c r="I104" s="132"/>
      <c r="J104" s="185"/>
      <c r="K104" s="185"/>
      <c r="L104" s="186"/>
    </row>
    <row r="105" spans="2:12" x14ac:dyDescent="0.4">
      <c r="B105" s="139"/>
      <c r="C105" s="140"/>
      <c r="D105" s="172"/>
      <c r="E105" s="172"/>
      <c r="F105" s="172"/>
      <c r="G105" s="132"/>
      <c r="H105" s="132"/>
      <c r="I105" s="132"/>
      <c r="J105" s="185"/>
      <c r="K105" s="185"/>
      <c r="L105" s="186"/>
    </row>
    <row r="106" spans="2:12" x14ac:dyDescent="0.4">
      <c r="B106" s="139"/>
      <c r="C106" s="140"/>
      <c r="D106" s="172"/>
      <c r="E106" s="172"/>
      <c r="F106" s="172"/>
      <c r="G106" s="132"/>
      <c r="H106" s="132"/>
      <c r="I106" s="132"/>
      <c r="J106" s="185"/>
      <c r="K106" s="185"/>
      <c r="L106" s="186"/>
    </row>
    <row r="107" spans="2:12" x14ac:dyDescent="0.4">
      <c r="B107" s="139"/>
      <c r="C107" s="140"/>
      <c r="D107" s="172"/>
      <c r="E107" s="172"/>
      <c r="F107" s="172"/>
      <c r="G107" s="132"/>
      <c r="H107" s="132"/>
      <c r="I107" s="132"/>
      <c r="J107" s="185"/>
      <c r="K107" s="185"/>
      <c r="L107" s="186"/>
    </row>
    <row r="108" spans="2:12" x14ac:dyDescent="0.4">
      <c r="B108" s="139"/>
      <c r="C108" s="140"/>
      <c r="D108" s="172"/>
      <c r="E108" s="172"/>
      <c r="F108" s="172"/>
      <c r="G108" s="132"/>
      <c r="H108" s="132"/>
      <c r="I108" s="132"/>
      <c r="J108" s="185"/>
      <c r="K108" s="185"/>
      <c r="L108" s="186"/>
    </row>
    <row r="109" spans="2:12" x14ac:dyDescent="0.4">
      <c r="B109" s="139"/>
      <c r="C109" s="140"/>
      <c r="D109" s="172"/>
      <c r="E109" s="172"/>
      <c r="F109" s="172"/>
      <c r="G109" s="132"/>
      <c r="H109" s="132"/>
      <c r="I109" s="132"/>
      <c r="J109" s="185"/>
      <c r="K109" s="185"/>
      <c r="L109" s="186"/>
    </row>
    <row r="110" spans="2:12" x14ac:dyDescent="0.4">
      <c r="B110" s="139"/>
      <c r="C110" s="140"/>
      <c r="D110" s="172"/>
      <c r="E110" s="172"/>
      <c r="F110" s="172"/>
      <c r="G110" s="132"/>
      <c r="H110" s="132"/>
      <c r="I110" s="132"/>
      <c r="J110" s="185"/>
      <c r="K110" s="185"/>
      <c r="L110" s="186"/>
    </row>
    <row r="111" spans="2:12" x14ac:dyDescent="0.4">
      <c r="B111" s="139"/>
      <c r="C111" s="140"/>
      <c r="D111" s="172"/>
      <c r="E111" s="172"/>
      <c r="F111" s="172"/>
      <c r="G111" s="132"/>
      <c r="H111" s="132"/>
      <c r="I111" s="132"/>
      <c r="J111" s="185"/>
      <c r="K111" s="185"/>
      <c r="L111" s="186"/>
    </row>
    <row r="112" spans="2:12" x14ac:dyDescent="0.4">
      <c r="B112" s="139"/>
      <c r="C112" s="140"/>
      <c r="D112" s="172"/>
      <c r="E112" s="172"/>
      <c r="F112" s="172"/>
      <c r="G112" s="132"/>
      <c r="H112" s="132"/>
      <c r="I112" s="132"/>
      <c r="J112" s="185"/>
      <c r="K112" s="185"/>
      <c r="L112" s="186"/>
    </row>
    <row r="113" spans="2:12" x14ac:dyDescent="0.4">
      <c r="B113" s="139"/>
      <c r="C113" s="140"/>
      <c r="D113" s="172"/>
      <c r="E113" s="172"/>
      <c r="F113" s="172"/>
      <c r="G113" s="132"/>
      <c r="H113" s="132"/>
      <c r="I113" s="132"/>
      <c r="J113" s="185"/>
      <c r="K113" s="185"/>
      <c r="L113" s="186"/>
    </row>
    <row r="114" spans="2:12" x14ac:dyDescent="0.4">
      <c r="B114" s="139"/>
      <c r="C114" s="140"/>
      <c r="D114" s="172"/>
      <c r="E114" s="172"/>
      <c r="F114" s="172"/>
      <c r="G114" s="132"/>
      <c r="H114" s="132"/>
      <c r="I114" s="132"/>
      <c r="J114" s="185"/>
      <c r="K114" s="185"/>
      <c r="L114" s="186"/>
    </row>
    <row r="115" spans="2:12" x14ac:dyDescent="0.4">
      <c r="B115" s="139"/>
      <c r="C115" s="140"/>
      <c r="D115" s="172"/>
      <c r="E115" s="172"/>
      <c r="F115" s="172"/>
      <c r="G115" s="132"/>
      <c r="H115" s="132"/>
      <c r="I115" s="132"/>
      <c r="J115" s="185"/>
      <c r="K115" s="185"/>
      <c r="L115" s="186"/>
    </row>
    <row r="116" spans="2:12" x14ac:dyDescent="0.4">
      <c r="B116" s="139"/>
      <c r="C116" s="140"/>
      <c r="D116" s="172"/>
      <c r="E116" s="172"/>
      <c r="F116" s="172"/>
      <c r="G116" s="132"/>
      <c r="H116" s="132"/>
      <c r="I116" s="132"/>
      <c r="J116" s="185"/>
      <c r="K116" s="185"/>
      <c r="L116" s="186"/>
    </row>
    <row r="117" spans="2:12" x14ac:dyDescent="0.4">
      <c r="B117" s="139"/>
      <c r="C117" s="140"/>
      <c r="D117" s="172"/>
      <c r="E117" s="172"/>
      <c r="F117" s="172"/>
      <c r="G117" s="132"/>
      <c r="H117" s="132"/>
      <c r="I117" s="132"/>
      <c r="J117" s="185"/>
      <c r="K117" s="185"/>
      <c r="L117" s="186"/>
    </row>
    <row r="118" spans="2:12" x14ac:dyDescent="0.4">
      <c r="B118" s="139"/>
      <c r="C118" s="140"/>
      <c r="D118" s="172"/>
      <c r="E118" s="172"/>
      <c r="F118" s="172"/>
      <c r="G118" s="132"/>
      <c r="H118" s="132"/>
      <c r="I118" s="132"/>
      <c r="J118" s="185"/>
      <c r="K118" s="185"/>
      <c r="L118" s="186"/>
    </row>
    <row r="119" spans="2:12" x14ac:dyDescent="0.4">
      <c r="B119" s="139"/>
      <c r="C119" s="140"/>
      <c r="D119" s="172"/>
      <c r="E119" s="172"/>
      <c r="F119" s="172"/>
      <c r="G119" s="132"/>
      <c r="H119" s="132"/>
      <c r="I119" s="132"/>
      <c r="J119" s="185"/>
      <c r="K119" s="185"/>
      <c r="L119" s="186"/>
    </row>
    <row r="120" spans="2:12" x14ac:dyDescent="0.4">
      <c r="B120" s="139"/>
      <c r="C120" s="140"/>
      <c r="D120" s="172"/>
      <c r="E120" s="172"/>
      <c r="F120" s="172"/>
      <c r="G120" s="132"/>
      <c r="H120" s="132"/>
      <c r="I120" s="132"/>
      <c r="J120" s="185"/>
      <c r="K120" s="185"/>
      <c r="L120" s="186"/>
    </row>
    <row r="121" spans="2:12" x14ac:dyDescent="0.4">
      <c r="B121" s="139"/>
      <c r="C121" s="140"/>
      <c r="D121" s="172"/>
      <c r="E121" s="172"/>
      <c r="F121" s="172"/>
      <c r="G121" s="132"/>
      <c r="H121" s="132"/>
      <c r="I121" s="132"/>
      <c r="J121" s="185"/>
      <c r="K121" s="185"/>
      <c r="L121" s="186"/>
    </row>
    <row r="122" spans="2:12" x14ac:dyDescent="0.4">
      <c r="B122" s="139"/>
      <c r="C122" s="140"/>
      <c r="D122" s="172"/>
      <c r="E122" s="172"/>
      <c r="F122" s="172"/>
      <c r="G122" s="132"/>
      <c r="H122" s="132"/>
      <c r="I122" s="132"/>
      <c r="J122" s="185"/>
      <c r="K122" s="185"/>
      <c r="L122" s="186"/>
    </row>
    <row r="123" spans="2:12" x14ac:dyDescent="0.4">
      <c r="B123" s="139"/>
      <c r="C123" s="140"/>
      <c r="D123" s="172"/>
      <c r="E123" s="172"/>
      <c r="F123" s="172"/>
      <c r="G123" s="132"/>
      <c r="H123" s="132"/>
      <c r="I123" s="132"/>
      <c r="J123" s="185"/>
      <c r="K123" s="185"/>
      <c r="L123" s="186"/>
    </row>
    <row r="124" spans="2:12" x14ac:dyDescent="0.4">
      <c r="B124" s="139"/>
      <c r="C124" s="140"/>
      <c r="D124" s="172"/>
      <c r="E124" s="172"/>
      <c r="F124" s="172"/>
      <c r="G124" s="132"/>
      <c r="H124" s="132"/>
      <c r="I124" s="132"/>
      <c r="J124" s="185"/>
      <c r="K124" s="185"/>
      <c r="L124" s="186"/>
    </row>
    <row r="125" spans="2:12" x14ac:dyDescent="0.4">
      <c r="B125" s="139"/>
      <c r="C125" s="140"/>
      <c r="D125" s="172"/>
      <c r="E125" s="172"/>
      <c r="F125" s="172"/>
      <c r="G125" s="132"/>
      <c r="H125" s="132"/>
      <c r="I125" s="132"/>
      <c r="J125" s="185"/>
      <c r="K125" s="185"/>
      <c r="L125" s="186"/>
    </row>
    <row r="126" spans="2:12" x14ac:dyDescent="0.4">
      <c r="B126" s="139"/>
      <c r="C126" s="140"/>
      <c r="D126" s="172"/>
      <c r="E126" s="172"/>
      <c r="F126" s="172"/>
      <c r="G126" s="132"/>
      <c r="H126" s="132"/>
      <c r="I126" s="132"/>
      <c r="J126" s="185"/>
      <c r="K126" s="185"/>
      <c r="L126" s="186"/>
    </row>
    <row r="127" spans="2:12" x14ac:dyDescent="0.4">
      <c r="B127" s="139"/>
      <c r="C127" s="140"/>
      <c r="D127" s="172"/>
      <c r="E127" s="172"/>
      <c r="F127" s="172"/>
      <c r="G127" s="132"/>
      <c r="H127" s="132"/>
      <c r="I127" s="132"/>
      <c r="J127" s="185"/>
      <c r="K127" s="185"/>
      <c r="L127" s="186"/>
    </row>
    <row r="128" spans="2:12" x14ac:dyDescent="0.4">
      <c r="B128" s="139"/>
      <c r="C128" s="140"/>
      <c r="D128" s="172"/>
      <c r="E128" s="172"/>
      <c r="F128" s="172"/>
      <c r="G128" s="132"/>
      <c r="H128" s="132"/>
      <c r="I128" s="132"/>
      <c r="J128" s="185"/>
      <c r="K128" s="185"/>
      <c r="L128" s="186"/>
    </row>
    <row r="129" spans="2:12" x14ac:dyDescent="0.4">
      <c r="B129" s="139"/>
      <c r="C129" s="140"/>
      <c r="D129" s="172"/>
      <c r="E129" s="172"/>
      <c r="F129" s="172"/>
      <c r="G129" s="132"/>
      <c r="H129" s="132"/>
      <c r="I129" s="132"/>
      <c r="J129" s="185"/>
      <c r="K129" s="185"/>
      <c r="L129" s="186"/>
    </row>
    <row r="130" spans="2:12" x14ac:dyDescent="0.4">
      <c r="B130" s="139"/>
      <c r="C130" s="140"/>
      <c r="D130" s="172"/>
      <c r="E130" s="172"/>
      <c r="F130" s="172"/>
      <c r="G130" s="132"/>
      <c r="H130" s="132"/>
      <c r="I130" s="132"/>
      <c r="J130" s="185"/>
      <c r="K130" s="185"/>
      <c r="L130" s="186"/>
    </row>
    <row r="131" spans="2:12" x14ac:dyDescent="0.4">
      <c r="B131" s="139"/>
      <c r="C131" s="140"/>
      <c r="D131" s="172"/>
      <c r="E131" s="172"/>
      <c r="F131" s="172"/>
      <c r="G131" s="132"/>
      <c r="H131" s="132"/>
      <c r="I131" s="132"/>
      <c r="J131" s="185"/>
      <c r="K131" s="185"/>
      <c r="L131" s="186"/>
    </row>
    <row r="132" spans="2:12" x14ac:dyDescent="0.4">
      <c r="B132" s="139"/>
      <c r="C132" s="140"/>
      <c r="D132" s="172"/>
      <c r="E132" s="172"/>
      <c r="F132" s="172"/>
      <c r="G132" s="132"/>
      <c r="H132" s="132"/>
      <c r="I132" s="132"/>
      <c r="J132" s="185"/>
      <c r="K132" s="185"/>
      <c r="L132" s="186"/>
    </row>
    <row r="133" spans="2:12" x14ac:dyDescent="0.4">
      <c r="B133" s="139"/>
      <c r="C133" s="140"/>
      <c r="D133" s="172"/>
      <c r="E133" s="172"/>
      <c r="F133" s="172"/>
      <c r="G133" s="132"/>
      <c r="H133" s="132"/>
      <c r="I133" s="132"/>
      <c r="J133" s="185"/>
      <c r="K133" s="185"/>
      <c r="L133" s="186"/>
    </row>
    <row r="134" spans="2:12" x14ac:dyDescent="0.4">
      <c r="B134" s="139"/>
      <c r="C134" s="140"/>
      <c r="D134" s="172"/>
      <c r="E134" s="172"/>
      <c r="F134" s="172"/>
      <c r="G134" s="132"/>
      <c r="H134" s="132"/>
      <c r="I134" s="132"/>
      <c r="J134" s="185"/>
      <c r="K134" s="185"/>
      <c r="L134" s="186"/>
    </row>
    <row r="135" spans="2:12" x14ac:dyDescent="0.4">
      <c r="B135" s="139"/>
      <c r="C135" s="140"/>
      <c r="D135" s="172"/>
      <c r="E135" s="172"/>
      <c r="F135" s="172"/>
      <c r="G135" s="132"/>
      <c r="H135" s="132"/>
      <c r="I135" s="132"/>
      <c r="J135" s="185"/>
      <c r="K135" s="185"/>
      <c r="L135" s="186"/>
    </row>
    <row r="136" spans="2:12" x14ac:dyDescent="0.4">
      <c r="B136" s="139"/>
      <c r="C136" s="140"/>
      <c r="D136" s="172"/>
      <c r="E136" s="172"/>
      <c r="F136" s="172"/>
      <c r="G136" s="132"/>
      <c r="H136" s="132"/>
      <c r="I136" s="132"/>
      <c r="J136" s="185"/>
      <c r="K136" s="185"/>
      <c r="L136" s="186"/>
    </row>
    <row r="137" spans="2:12" x14ac:dyDescent="0.4">
      <c r="B137" s="139"/>
      <c r="C137" s="140"/>
      <c r="D137" s="172"/>
      <c r="E137" s="172"/>
      <c r="F137" s="172"/>
      <c r="G137" s="132"/>
      <c r="H137" s="132"/>
      <c r="I137" s="132"/>
      <c r="J137" s="185"/>
      <c r="K137" s="185"/>
      <c r="L137" s="186"/>
    </row>
    <row r="138" spans="2:12" x14ac:dyDescent="0.4">
      <c r="B138" s="139"/>
      <c r="C138" s="140"/>
      <c r="D138" s="172"/>
      <c r="E138" s="172"/>
      <c r="F138" s="172"/>
      <c r="G138" s="132"/>
      <c r="H138" s="132"/>
      <c r="I138" s="132"/>
      <c r="J138" s="185"/>
      <c r="K138" s="185"/>
      <c r="L138" s="186"/>
    </row>
    <row r="139" spans="2:12" x14ac:dyDescent="0.4">
      <c r="B139" s="139"/>
      <c r="C139" s="140"/>
      <c r="D139" s="172"/>
      <c r="E139" s="172"/>
      <c r="F139" s="172"/>
      <c r="G139" s="132"/>
      <c r="H139" s="132"/>
      <c r="I139" s="132"/>
      <c r="J139" s="185"/>
      <c r="K139" s="185"/>
      <c r="L139" s="186"/>
    </row>
    <row r="140" spans="2:12" x14ac:dyDescent="0.4">
      <c r="B140" s="139"/>
      <c r="C140" s="140"/>
      <c r="D140" s="172"/>
      <c r="E140" s="172"/>
      <c r="F140" s="172"/>
      <c r="G140" s="132"/>
      <c r="H140" s="132"/>
      <c r="I140" s="132"/>
      <c r="J140" s="185"/>
      <c r="K140" s="185"/>
      <c r="L140" s="186"/>
    </row>
    <row r="141" spans="2:12" x14ac:dyDescent="0.4">
      <c r="B141" s="139"/>
      <c r="C141" s="140"/>
      <c r="D141" s="172"/>
      <c r="E141" s="172"/>
      <c r="F141" s="172"/>
      <c r="G141" s="132"/>
      <c r="H141" s="132"/>
      <c r="I141" s="132"/>
      <c r="J141" s="185"/>
      <c r="K141" s="185"/>
      <c r="L141" s="186"/>
    </row>
    <row r="142" spans="2:12" x14ac:dyDescent="0.4">
      <c r="B142" s="139"/>
      <c r="C142" s="140"/>
      <c r="D142" s="172"/>
      <c r="E142" s="172"/>
      <c r="F142" s="172"/>
      <c r="G142" s="132"/>
      <c r="H142" s="132"/>
      <c r="I142" s="132"/>
      <c r="J142" s="185"/>
      <c r="K142" s="185"/>
      <c r="L142" s="186"/>
    </row>
    <row r="143" spans="2:12" x14ac:dyDescent="0.4">
      <c r="B143" s="139"/>
      <c r="C143" s="140"/>
      <c r="D143" s="172"/>
      <c r="E143" s="172"/>
      <c r="F143" s="172"/>
      <c r="G143" s="132"/>
      <c r="H143" s="132"/>
      <c r="I143" s="132"/>
      <c r="J143" s="185"/>
      <c r="K143" s="185"/>
      <c r="L143" s="186"/>
    </row>
    <row r="144" spans="2:12" x14ac:dyDescent="0.4">
      <c r="B144" s="139"/>
      <c r="C144" s="140"/>
      <c r="D144" s="172"/>
      <c r="E144" s="172"/>
      <c r="F144" s="172"/>
      <c r="G144" s="132"/>
      <c r="H144" s="132"/>
      <c r="I144" s="132"/>
      <c r="J144" s="185"/>
      <c r="K144" s="185"/>
      <c r="L144" s="186"/>
    </row>
    <row r="145" spans="2:12" x14ac:dyDescent="0.4">
      <c r="B145" s="139"/>
      <c r="C145" s="140"/>
      <c r="D145" s="172"/>
      <c r="E145" s="172"/>
      <c r="F145" s="172"/>
      <c r="G145" s="132"/>
      <c r="H145" s="132"/>
      <c r="I145" s="132"/>
      <c r="J145" s="185"/>
      <c r="K145" s="185"/>
      <c r="L145" s="186"/>
    </row>
    <row r="146" spans="2:12" x14ac:dyDescent="0.4">
      <c r="B146" s="139"/>
      <c r="C146" s="140"/>
      <c r="D146" s="172"/>
      <c r="E146" s="172"/>
      <c r="F146" s="172"/>
      <c r="G146" s="132"/>
      <c r="H146" s="132"/>
      <c r="I146" s="132"/>
      <c r="J146" s="185"/>
      <c r="K146" s="185"/>
      <c r="L146" s="186"/>
    </row>
    <row r="147" spans="2:12" x14ac:dyDescent="0.4">
      <c r="B147" s="139"/>
      <c r="C147" s="140"/>
      <c r="D147" s="172"/>
      <c r="E147" s="172"/>
      <c r="F147" s="172"/>
      <c r="G147" s="132"/>
      <c r="H147" s="132"/>
      <c r="I147" s="132"/>
      <c r="J147" s="185"/>
      <c r="K147" s="185"/>
      <c r="L147" s="186"/>
    </row>
    <row r="148" spans="2:12" x14ac:dyDescent="0.4">
      <c r="B148" s="139"/>
      <c r="C148" s="140"/>
      <c r="D148" s="172"/>
      <c r="E148" s="172"/>
      <c r="F148" s="172"/>
      <c r="G148" s="132"/>
      <c r="H148" s="132"/>
      <c r="I148" s="132"/>
      <c r="J148" s="185"/>
      <c r="K148" s="185"/>
      <c r="L148" s="186"/>
    </row>
    <row r="149" spans="2:12" x14ac:dyDescent="0.4">
      <c r="B149" s="139"/>
      <c r="C149" s="140"/>
      <c r="D149" s="172"/>
      <c r="E149" s="172"/>
      <c r="F149" s="172"/>
      <c r="G149" s="132"/>
      <c r="H149" s="132"/>
      <c r="I149" s="132"/>
      <c r="J149" s="185"/>
      <c r="K149" s="185"/>
      <c r="L149" s="186"/>
    </row>
    <row r="150" spans="2:12" x14ac:dyDescent="0.4">
      <c r="B150" s="139"/>
      <c r="C150" s="140"/>
      <c r="D150" s="172"/>
      <c r="E150" s="172"/>
      <c r="F150" s="172"/>
      <c r="G150" s="132"/>
      <c r="H150" s="132"/>
      <c r="I150" s="132"/>
      <c r="J150" s="185"/>
      <c r="K150" s="185"/>
      <c r="L150" s="186"/>
    </row>
    <row r="151" spans="2:12" x14ac:dyDescent="0.4">
      <c r="B151" s="139"/>
      <c r="C151" s="140"/>
      <c r="D151" s="172"/>
      <c r="E151" s="172"/>
      <c r="F151" s="172"/>
      <c r="G151" s="132"/>
      <c r="H151" s="132"/>
      <c r="I151" s="132"/>
      <c r="J151" s="185"/>
      <c r="K151" s="185"/>
      <c r="L151" s="186"/>
    </row>
    <row r="152" spans="2:12" x14ac:dyDescent="0.4">
      <c r="B152" s="139"/>
      <c r="C152" s="140"/>
      <c r="D152" s="172"/>
      <c r="E152" s="172"/>
      <c r="F152" s="172"/>
      <c r="G152" s="132"/>
      <c r="H152" s="132"/>
      <c r="I152" s="132"/>
      <c r="J152" s="185"/>
      <c r="K152" s="185"/>
      <c r="L152" s="186"/>
    </row>
    <row r="153" spans="2:12" x14ac:dyDescent="0.4">
      <c r="B153" s="139"/>
      <c r="C153" s="140"/>
      <c r="D153" s="172"/>
      <c r="E153" s="172"/>
      <c r="F153" s="172"/>
      <c r="G153" s="132"/>
      <c r="H153" s="132"/>
      <c r="I153" s="132"/>
      <c r="J153" s="185"/>
      <c r="K153" s="185"/>
      <c r="L153" s="186"/>
    </row>
    <row r="154" spans="2:12" x14ac:dyDescent="0.4">
      <c r="B154" s="139"/>
      <c r="C154" s="140"/>
      <c r="D154" s="172"/>
      <c r="E154" s="172"/>
      <c r="F154" s="172"/>
      <c r="G154" s="132"/>
      <c r="H154" s="132"/>
      <c r="I154" s="132"/>
      <c r="J154" s="185"/>
      <c r="K154" s="185"/>
      <c r="L154" s="186"/>
    </row>
    <row r="155" spans="2:12" x14ac:dyDescent="0.4">
      <c r="B155" s="139"/>
      <c r="C155" s="140"/>
      <c r="D155" s="172"/>
      <c r="E155" s="172"/>
      <c r="F155" s="172"/>
      <c r="G155" s="132"/>
      <c r="H155" s="132"/>
      <c r="I155" s="132"/>
      <c r="J155" s="185"/>
      <c r="K155" s="185"/>
      <c r="L155" s="186"/>
    </row>
    <row r="156" spans="2:12" x14ac:dyDescent="0.4">
      <c r="B156" s="139"/>
      <c r="C156" s="140"/>
      <c r="D156" s="172"/>
      <c r="E156" s="172"/>
      <c r="F156" s="172"/>
      <c r="G156" s="132"/>
      <c r="H156" s="132"/>
      <c r="I156" s="132"/>
      <c r="J156" s="185"/>
      <c r="K156" s="185"/>
      <c r="L156" s="186"/>
    </row>
    <row r="157" spans="2:12" x14ac:dyDescent="0.4">
      <c r="B157" s="139"/>
      <c r="C157" s="140"/>
      <c r="D157" s="172"/>
      <c r="E157" s="172"/>
      <c r="F157" s="172"/>
      <c r="G157" s="132"/>
      <c r="H157" s="132"/>
      <c r="I157" s="132"/>
      <c r="J157" s="185"/>
      <c r="K157" s="185"/>
      <c r="L157" s="186"/>
    </row>
    <row r="158" spans="2:12" x14ac:dyDescent="0.4">
      <c r="B158" s="139"/>
      <c r="C158" s="140"/>
      <c r="D158" s="172"/>
      <c r="E158" s="172"/>
      <c r="F158" s="172"/>
      <c r="G158" s="132"/>
      <c r="H158" s="132"/>
      <c r="I158" s="132"/>
      <c r="J158" s="185"/>
      <c r="K158" s="185"/>
      <c r="L158" s="186"/>
    </row>
    <row r="159" spans="2:12" x14ac:dyDescent="0.4">
      <c r="B159" s="139"/>
      <c r="C159" s="140"/>
      <c r="D159" s="172"/>
      <c r="E159" s="172"/>
      <c r="F159" s="172"/>
      <c r="G159" s="132"/>
      <c r="H159" s="132"/>
      <c r="I159" s="132"/>
      <c r="J159" s="185"/>
      <c r="K159" s="185"/>
      <c r="L159" s="186"/>
    </row>
    <row r="160" spans="2:12" x14ac:dyDescent="0.4">
      <c r="B160" s="139"/>
      <c r="C160" s="140"/>
      <c r="D160" s="172"/>
      <c r="E160" s="172"/>
      <c r="F160" s="172"/>
      <c r="G160" s="132"/>
      <c r="H160" s="132"/>
      <c r="I160" s="132"/>
      <c r="J160" s="185"/>
      <c r="K160" s="185"/>
      <c r="L160" s="186"/>
    </row>
    <row r="161" spans="2:12" x14ac:dyDescent="0.4">
      <c r="B161" s="139"/>
      <c r="C161" s="140"/>
      <c r="D161" s="172"/>
      <c r="E161" s="172"/>
      <c r="F161" s="172"/>
      <c r="G161" s="132"/>
      <c r="H161" s="132"/>
      <c r="I161" s="132"/>
      <c r="J161" s="185"/>
      <c r="K161" s="185"/>
      <c r="L161" s="186"/>
    </row>
    <row r="162" spans="2:12" x14ac:dyDescent="0.4">
      <c r="B162" s="139"/>
      <c r="C162" s="140"/>
      <c r="D162" s="172"/>
      <c r="E162" s="172"/>
      <c r="F162" s="172"/>
      <c r="G162" s="132"/>
      <c r="H162" s="132"/>
      <c r="I162" s="132"/>
      <c r="J162" s="185"/>
      <c r="K162" s="185"/>
      <c r="L162" s="186"/>
    </row>
    <row r="163" spans="2:12" x14ac:dyDescent="0.4">
      <c r="B163" s="139"/>
      <c r="C163" s="140"/>
      <c r="D163" s="172"/>
      <c r="E163" s="172"/>
      <c r="F163" s="172"/>
      <c r="G163" s="132"/>
      <c r="H163" s="132"/>
      <c r="I163" s="132"/>
      <c r="J163" s="185"/>
      <c r="K163" s="185"/>
      <c r="L163" s="186"/>
    </row>
    <row r="164" spans="2:12" x14ac:dyDescent="0.4">
      <c r="B164" s="139"/>
      <c r="C164" s="140"/>
      <c r="D164" s="172"/>
      <c r="E164" s="172"/>
      <c r="F164" s="172"/>
      <c r="G164" s="132"/>
      <c r="H164" s="132"/>
      <c r="I164" s="132"/>
      <c r="J164" s="185"/>
      <c r="K164" s="185"/>
      <c r="L164" s="186"/>
    </row>
    <row r="165" spans="2:12" x14ac:dyDescent="0.4">
      <c r="B165" s="139"/>
      <c r="C165" s="140"/>
      <c r="D165" s="172"/>
      <c r="E165" s="172"/>
      <c r="F165" s="172"/>
      <c r="G165" s="132"/>
      <c r="H165" s="132"/>
      <c r="I165" s="132"/>
      <c r="J165" s="185"/>
      <c r="K165" s="185"/>
      <c r="L165" s="186"/>
    </row>
    <row r="166" spans="2:12" x14ac:dyDescent="0.4">
      <c r="B166" s="139"/>
      <c r="C166" s="140"/>
      <c r="D166" s="172"/>
      <c r="E166" s="172"/>
      <c r="F166" s="172"/>
      <c r="G166" s="132"/>
      <c r="H166" s="132"/>
      <c r="I166" s="132"/>
      <c r="J166" s="185"/>
      <c r="K166" s="185"/>
      <c r="L166" s="186"/>
    </row>
    <row r="167" spans="2:12" x14ac:dyDescent="0.4">
      <c r="B167" s="139"/>
      <c r="C167" s="140"/>
      <c r="D167" s="172"/>
      <c r="E167" s="172"/>
      <c r="F167" s="172"/>
      <c r="G167" s="132"/>
      <c r="H167" s="132"/>
      <c r="I167" s="132"/>
      <c r="J167" s="185"/>
      <c r="K167" s="185"/>
      <c r="L167" s="186"/>
    </row>
    <row r="168" spans="2:12" x14ac:dyDescent="0.4">
      <c r="B168" s="139"/>
      <c r="C168" s="140"/>
      <c r="D168" s="172"/>
      <c r="E168" s="172"/>
      <c r="F168" s="172"/>
      <c r="G168" s="132"/>
      <c r="H168" s="132"/>
      <c r="I168" s="132"/>
      <c r="J168" s="185"/>
      <c r="K168" s="185"/>
      <c r="L168" s="186"/>
    </row>
    <row r="169" spans="2:12" x14ac:dyDescent="0.4">
      <c r="B169" s="139"/>
      <c r="C169" s="140"/>
      <c r="D169" s="172"/>
      <c r="E169" s="172"/>
      <c r="F169" s="172"/>
      <c r="G169" s="132"/>
      <c r="H169" s="132"/>
      <c r="I169" s="132"/>
      <c r="J169" s="185"/>
      <c r="K169" s="185"/>
      <c r="L169" s="186"/>
    </row>
    <row r="170" spans="2:12" x14ac:dyDescent="0.4">
      <c r="B170" s="139"/>
      <c r="C170" s="140"/>
      <c r="D170" s="172"/>
      <c r="E170" s="172"/>
      <c r="F170" s="172"/>
      <c r="G170" s="132"/>
      <c r="H170" s="132"/>
      <c r="I170" s="132"/>
      <c r="J170" s="185"/>
      <c r="K170" s="185"/>
      <c r="L170" s="186"/>
    </row>
    <row r="171" spans="2:12" x14ac:dyDescent="0.4">
      <c r="B171" s="139"/>
      <c r="C171" s="140"/>
      <c r="D171" s="172"/>
      <c r="E171" s="172"/>
      <c r="F171" s="172"/>
      <c r="G171" s="132"/>
      <c r="H171" s="132"/>
      <c r="I171" s="132"/>
      <c r="J171" s="185"/>
      <c r="K171" s="185"/>
      <c r="L171" s="186"/>
    </row>
    <row r="172" spans="2:12" x14ac:dyDescent="0.4">
      <c r="B172" s="139"/>
      <c r="C172" s="140"/>
      <c r="D172" s="172"/>
      <c r="E172" s="172"/>
      <c r="F172" s="172"/>
      <c r="G172" s="132"/>
      <c r="H172" s="132"/>
      <c r="I172" s="132"/>
      <c r="J172" s="185"/>
      <c r="K172" s="185"/>
      <c r="L172" s="186"/>
    </row>
    <row r="173" spans="2:12" x14ac:dyDescent="0.4">
      <c r="B173" s="139"/>
      <c r="C173" s="140"/>
      <c r="D173" s="172"/>
      <c r="E173" s="172"/>
      <c r="F173" s="172"/>
      <c r="G173" s="132"/>
      <c r="H173" s="132"/>
      <c r="I173" s="132"/>
      <c r="J173" s="185"/>
      <c r="K173" s="185"/>
      <c r="L173" s="186"/>
    </row>
    <row r="174" spans="2:12" x14ac:dyDescent="0.4">
      <c r="B174" s="139"/>
      <c r="C174" s="140"/>
      <c r="D174" s="172"/>
      <c r="E174" s="172"/>
      <c r="F174" s="172"/>
      <c r="G174" s="132"/>
      <c r="H174" s="132"/>
      <c r="I174" s="132"/>
      <c r="J174" s="185"/>
      <c r="K174" s="185"/>
      <c r="L174" s="186"/>
    </row>
    <row r="175" spans="2:12" x14ac:dyDescent="0.4">
      <c r="B175" s="139"/>
      <c r="C175" s="140"/>
      <c r="D175" s="172"/>
      <c r="E175" s="172"/>
      <c r="F175" s="172"/>
      <c r="G175" s="132"/>
      <c r="H175" s="132"/>
      <c r="I175" s="132"/>
      <c r="J175" s="185"/>
      <c r="K175" s="185"/>
      <c r="L175" s="186"/>
    </row>
    <row r="176" spans="2:12" x14ac:dyDescent="0.4">
      <c r="B176" s="139"/>
      <c r="C176" s="140"/>
      <c r="D176" s="172"/>
      <c r="E176" s="172"/>
      <c r="F176" s="172"/>
      <c r="G176" s="132"/>
      <c r="H176" s="132"/>
      <c r="I176" s="132"/>
      <c r="J176" s="185"/>
      <c r="K176" s="185"/>
      <c r="L176" s="186"/>
    </row>
    <row r="177" spans="2:12" x14ac:dyDescent="0.4">
      <c r="B177" s="139"/>
      <c r="C177" s="140"/>
      <c r="D177" s="172"/>
      <c r="E177" s="172"/>
      <c r="F177" s="172"/>
      <c r="G177" s="132"/>
      <c r="H177" s="132"/>
      <c r="I177" s="132"/>
      <c r="J177" s="185"/>
      <c r="K177" s="185"/>
      <c r="L177" s="186"/>
    </row>
    <row r="178" spans="2:12" x14ac:dyDescent="0.4">
      <c r="B178" s="139"/>
      <c r="C178" s="140"/>
      <c r="D178" s="172"/>
      <c r="E178" s="172"/>
      <c r="F178" s="172"/>
      <c r="G178" s="132"/>
      <c r="H178" s="132"/>
      <c r="I178" s="132"/>
      <c r="J178" s="185"/>
      <c r="K178" s="185"/>
      <c r="L178" s="186"/>
    </row>
    <row r="179" spans="2:12" x14ac:dyDescent="0.4">
      <c r="B179" s="139"/>
      <c r="C179" s="140"/>
      <c r="D179" s="172"/>
      <c r="E179" s="172"/>
      <c r="F179" s="172"/>
      <c r="G179" s="132"/>
      <c r="H179" s="132"/>
      <c r="I179" s="132"/>
      <c r="J179" s="185"/>
      <c r="K179" s="185"/>
      <c r="L179" s="186"/>
    </row>
    <row r="180" spans="2:12" x14ac:dyDescent="0.4">
      <c r="B180" s="139"/>
      <c r="C180" s="140"/>
      <c r="D180" s="172"/>
      <c r="E180" s="172"/>
      <c r="F180" s="172"/>
      <c r="G180" s="132"/>
      <c r="H180" s="132"/>
      <c r="I180" s="132"/>
      <c r="J180" s="185"/>
      <c r="K180" s="185"/>
      <c r="L180" s="186"/>
    </row>
    <row r="181" spans="2:12" x14ac:dyDescent="0.4">
      <c r="B181" s="139"/>
      <c r="C181" s="140"/>
      <c r="D181" s="172"/>
      <c r="E181" s="172"/>
      <c r="F181" s="172"/>
      <c r="G181" s="132"/>
      <c r="H181" s="132"/>
      <c r="I181" s="132"/>
      <c r="J181" s="185"/>
      <c r="K181" s="185"/>
      <c r="L181" s="186"/>
    </row>
    <row r="182" spans="2:12" x14ac:dyDescent="0.4">
      <c r="B182" s="139"/>
      <c r="C182" s="140"/>
      <c r="D182" s="172"/>
      <c r="E182" s="172"/>
      <c r="F182" s="172"/>
      <c r="G182" s="132"/>
      <c r="H182" s="132"/>
      <c r="I182" s="132"/>
      <c r="J182" s="185"/>
      <c r="K182" s="185"/>
      <c r="L182" s="186"/>
    </row>
    <row r="183" spans="2:12" x14ac:dyDescent="0.4">
      <c r="B183" s="139"/>
      <c r="C183" s="140"/>
      <c r="D183" s="172"/>
      <c r="E183" s="172"/>
      <c r="F183" s="172"/>
      <c r="G183" s="132"/>
      <c r="H183" s="132"/>
      <c r="I183" s="132"/>
      <c r="J183" s="185"/>
      <c r="K183" s="185"/>
      <c r="L183" s="186"/>
    </row>
    <row r="184" spans="2:12" x14ac:dyDescent="0.4">
      <c r="B184" s="139"/>
      <c r="C184" s="140"/>
      <c r="D184" s="172"/>
      <c r="E184" s="172"/>
      <c r="F184" s="172"/>
      <c r="G184" s="132"/>
      <c r="H184" s="132"/>
      <c r="I184" s="132"/>
      <c r="J184" s="185"/>
      <c r="K184" s="185"/>
      <c r="L184" s="186"/>
    </row>
    <row r="185" spans="2:12" x14ac:dyDescent="0.4">
      <c r="B185" s="139"/>
      <c r="C185" s="140"/>
      <c r="D185" s="172"/>
      <c r="E185" s="172"/>
      <c r="F185" s="172"/>
      <c r="G185" s="132"/>
      <c r="H185" s="132"/>
      <c r="I185" s="132"/>
      <c r="J185" s="185"/>
      <c r="K185" s="185"/>
      <c r="L185" s="186"/>
    </row>
    <row r="186" spans="2:12" x14ac:dyDescent="0.4">
      <c r="B186" s="139"/>
      <c r="C186" s="140"/>
      <c r="D186" s="172"/>
      <c r="E186" s="172"/>
      <c r="F186" s="172"/>
      <c r="G186" s="132"/>
      <c r="H186" s="132"/>
      <c r="I186" s="132"/>
      <c r="J186" s="185"/>
      <c r="K186" s="185"/>
      <c r="L186" s="186"/>
    </row>
    <row r="187" spans="2:12" x14ac:dyDescent="0.4">
      <c r="B187" s="139"/>
      <c r="C187" s="140"/>
      <c r="D187" s="172"/>
      <c r="E187" s="172"/>
      <c r="F187" s="172"/>
      <c r="G187" s="132"/>
      <c r="H187" s="132"/>
      <c r="I187" s="132"/>
      <c r="J187" s="185"/>
      <c r="K187" s="185"/>
      <c r="L187" s="186"/>
    </row>
    <row r="188" spans="2:12" x14ac:dyDescent="0.4">
      <c r="B188" s="139"/>
      <c r="C188" s="140"/>
      <c r="D188" s="172"/>
      <c r="E188" s="172"/>
      <c r="F188" s="172"/>
      <c r="G188" s="132"/>
      <c r="H188" s="132"/>
      <c r="I188" s="132"/>
      <c r="J188" s="185"/>
      <c r="K188" s="185"/>
      <c r="L188" s="186"/>
    </row>
    <row r="189" spans="2:12" x14ac:dyDescent="0.4">
      <c r="B189" s="139"/>
      <c r="C189" s="140"/>
      <c r="D189" s="172"/>
      <c r="E189" s="172"/>
      <c r="F189" s="172"/>
      <c r="G189" s="132"/>
      <c r="H189" s="132"/>
      <c r="I189" s="132"/>
      <c r="J189" s="185"/>
      <c r="K189" s="185"/>
      <c r="L189" s="186"/>
    </row>
    <row r="190" spans="2:12" x14ac:dyDescent="0.4">
      <c r="B190" s="139"/>
      <c r="C190" s="140"/>
      <c r="D190" s="172"/>
      <c r="E190" s="172"/>
      <c r="F190" s="172"/>
      <c r="G190" s="132"/>
      <c r="H190" s="132"/>
      <c r="I190" s="132"/>
      <c r="J190" s="185"/>
      <c r="K190" s="185"/>
      <c r="L190" s="186"/>
    </row>
    <row r="191" spans="2:12" x14ac:dyDescent="0.4">
      <c r="B191" s="139"/>
      <c r="C191" s="140"/>
      <c r="D191" s="172"/>
      <c r="E191" s="172"/>
      <c r="F191" s="172"/>
      <c r="G191" s="132"/>
      <c r="H191" s="132"/>
      <c r="I191" s="132"/>
      <c r="J191" s="185"/>
      <c r="K191" s="185"/>
      <c r="L191" s="186"/>
    </row>
    <row r="192" spans="2:12" x14ac:dyDescent="0.4">
      <c r="B192" s="139"/>
      <c r="C192" s="140"/>
      <c r="D192" s="172"/>
      <c r="E192" s="172"/>
      <c r="F192" s="172"/>
      <c r="G192" s="132"/>
      <c r="H192" s="132"/>
      <c r="I192" s="132"/>
      <c r="J192" s="185"/>
      <c r="K192" s="185"/>
      <c r="L192" s="186"/>
    </row>
    <row r="193" spans="2:12" x14ac:dyDescent="0.4">
      <c r="B193" s="139"/>
      <c r="C193" s="140"/>
      <c r="D193" s="172"/>
      <c r="E193" s="172"/>
      <c r="F193" s="172"/>
      <c r="G193" s="132"/>
      <c r="H193" s="132"/>
      <c r="I193" s="132"/>
      <c r="J193" s="185"/>
      <c r="K193" s="185"/>
      <c r="L193" s="186"/>
    </row>
    <row r="194" spans="2:12" x14ac:dyDescent="0.4">
      <c r="B194" s="139"/>
      <c r="C194" s="140"/>
      <c r="D194" s="172"/>
      <c r="E194" s="172"/>
      <c r="F194" s="172"/>
      <c r="G194" s="132"/>
      <c r="H194" s="132"/>
      <c r="I194" s="132"/>
      <c r="J194" s="185"/>
      <c r="K194" s="185"/>
      <c r="L194" s="186"/>
    </row>
    <row r="195" spans="2:12" x14ac:dyDescent="0.4">
      <c r="B195" s="139"/>
      <c r="C195" s="140"/>
      <c r="D195" s="172"/>
      <c r="E195" s="172"/>
      <c r="F195" s="172"/>
      <c r="G195" s="132"/>
      <c r="H195" s="132"/>
      <c r="I195" s="132"/>
      <c r="J195" s="185"/>
      <c r="K195" s="185"/>
      <c r="L195" s="186"/>
    </row>
    <row r="196" spans="2:12" x14ac:dyDescent="0.4">
      <c r="B196" s="139"/>
      <c r="C196" s="140"/>
      <c r="D196" s="172"/>
      <c r="E196" s="172"/>
      <c r="F196" s="172"/>
      <c r="G196" s="132"/>
      <c r="H196" s="132"/>
      <c r="I196" s="132"/>
      <c r="J196" s="185"/>
      <c r="K196" s="185"/>
      <c r="L196" s="186"/>
    </row>
    <row r="197" spans="2:12" x14ac:dyDescent="0.4">
      <c r="B197" s="139"/>
      <c r="C197" s="140"/>
      <c r="D197" s="172"/>
      <c r="E197" s="172"/>
      <c r="F197" s="172"/>
      <c r="G197" s="132"/>
      <c r="H197" s="132"/>
      <c r="I197" s="132"/>
      <c r="J197" s="185"/>
      <c r="K197" s="185"/>
      <c r="L197" s="186"/>
    </row>
    <row r="198" spans="2:12" x14ac:dyDescent="0.4">
      <c r="B198" s="139"/>
      <c r="C198" s="140"/>
      <c r="D198" s="172"/>
      <c r="E198" s="172"/>
      <c r="F198" s="172"/>
      <c r="G198" s="132"/>
      <c r="H198" s="132"/>
      <c r="I198" s="132"/>
      <c r="J198" s="185"/>
      <c r="K198" s="185"/>
      <c r="L198" s="186"/>
    </row>
    <row r="199" spans="2:12" x14ac:dyDescent="0.4">
      <c r="B199" s="139"/>
      <c r="C199" s="140"/>
      <c r="D199" s="172"/>
      <c r="E199" s="172"/>
      <c r="F199" s="172"/>
      <c r="G199" s="132"/>
      <c r="H199" s="132"/>
      <c r="I199" s="132"/>
      <c r="J199" s="185"/>
      <c r="K199" s="185"/>
      <c r="L199" s="186"/>
    </row>
    <row r="200" spans="2:12" x14ac:dyDescent="0.4">
      <c r="B200" s="139"/>
      <c r="C200" s="140"/>
      <c r="D200" s="172"/>
      <c r="E200" s="172"/>
      <c r="F200" s="172"/>
      <c r="G200" s="132"/>
      <c r="H200" s="132"/>
      <c r="I200" s="132"/>
      <c r="J200" s="185"/>
      <c r="K200" s="185"/>
      <c r="L200" s="186"/>
    </row>
    <row r="201" spans="2:12" x14ac:dyDescent="0.4">
      <c r="B201" s="139"/>
      <c r="C201" s="140"/>
      <c r="D201" s="172"/>
      <c r="E201" s="172"/>
      <c r="F201" s="172"/>
      <c r="G201" s="132"/>
      <c r="H201" s="132"/>
      <c r="I201" s="132"/>
      <c r="J201" s="185"/>
      <c r="K201" s="185"/>
      <c r="L201" s="186"/>
    </row>
    <row r="202" spans="2:12" x14ac:dyDescent="0.4">
      <c r="B202" s="139"/>
      <c r="C202" s="140"/>
      <c r="D202" s="172"/>
      <c r="E202" s="172"/>
      <c r="F202" s="172"/>
      <c r="G202" s="132"/>
      <c r="H202" s="132"/>
      <c r="I202" s="132"/>
      <c r="J202" s="185"/>
      <c r="K202" s="185"/>
      <c r="L202" s="186"/>
    </row>
    <row r="203" spans="2:12" x14ac:dyDescent="0.4">
      <c r="B203" s="139"/>
      <c r="C203" s="140"/>
      <c r="D203" s="172"/>
      <c r="E203" s="172"/>
      <c r="F203" s="172"/>
      <c r="G203" s="132"/>
      <c r="H203" s="132"/>
      <c r="I203" s="132"/>
      <c r="J203" s="185"/>
      <c r="K203" s="185"/>
      <c r="L203" s="186"/>
    </row>
    <row r="204" spans="2:12" x14ac:dyDescent="0.4">
      <c r="B204" s="139"/>
      <c r="C204" s="140"/>
      <c r="D204" s="172"/>
      <c r="E204" s="172"/>
      <c r="F204" s="172"/>
      <c r="G204" s="132"/>
      <c r="H204" s="132"/>
      <c r="I204" s="132"/>
      <c r="J204" s="185"/>
      <c r="K204" s="185"/>
      <c r="L204" s="186"/>
    </row>
    <row r="205" spans="2:12" x14ac:dyDescent="0.4">
      <c r="B205" s="139"/>
      <c r="C205" s="140"/>
      <c r="D205" s="172"/>
      <c r="E205" s="172"/>
      <c r="F205" s="172"/>
      <c r="G205" s="132"/>
      <c r="H205" s="132"/>
      <c r="I205" s="132"/>
      <c r="J205" s="185"/>
      <c r="K205" s="185"/>
      <c r="L205" s="186"/>
    </row>
    <row r="206" spans="2:12" x14ac:dyDescent="0.4">
      <c r="B206" s="139"/>
      <c r="C206" s="140"/>
      <c r="D206" s="172"/>
      <c r="E206" s="172"/>
      <c r="F206" s="172"/>
      <c r="G206" s="132"/>
      <c r="H206" s="132"/>
      <c r="I206" s="132"/>
      <c r="J206" s="185"/>
      <c r="K206" s="185"/>
      <c r="L206" s="186"/>
    </row>
    <row r="207" spans="2:12" x14ac:dyDescent="0.4">
      <c r="B207" s="139"/>
      <c r="C207" s="140"/>
      <c r="D207" s="172"/>
      <c r="E207" s="172"/>
      <c r="F207" s="172"/>
      <c r="G207" s="132"/>
      <c r="H207" s="132"/>
      <c r="I207" s="132"/>
      <c r="J207" s="185"/>
      <c r="K207" s="185"/>
      <c r="L207" s="186"/>
    </row>
    <row r="208" spans="2:12" x14ac:dyDescent="0.4">
      <c r="B208" s="139"/>
      <c r="C208" s="140"/>
      <c r="D208" s="172"/>
      <c r="E208" s="172"/>
      <c r="F208" s="172"/>
      <c r="G208" s="132"/>
      <c r="H208" s="132"/>
      <c r="I208" s="132"/>
      <c r="J208" s="185"/>
      <c r="K208" s="185"/>
      <c r="L208" s="186"/>
    </row>
    <row r="209" spans="2:12" x14ac:dyDescent="0.4">
      <c r="B209" s="139"/>
      <c r="C209" s="140"/>
      <c r="D209" s="172"/>
      <c r="E209" s="172"/>
      <c r="F209" s="172"/>
      <c r="G209" s="132"/>
      <c r="H209" s="132"/>
      <c r="I209" s="132"/>
      <c r="J209" s="185"/>
      <c r="K209" s="185"/>
      <c r="L209" s="186"/>
    </row>
    <row r="210" spans="2:12" x14ac:dyDescent="0.4">
      <c r="B210" s="139"/>
      <c r="C210" s="140"/>
      <c r="D210" s="172"/>
      <c r="E210" s="172"/>
      <c r="F210" s="172"/>
      <c r="G210" s="132"/>
      <c r="H210" s="132"/>
      <c r="I210" s="132"/>
      <c r="J210" s="185"/>
      <c r="K210" s="185"/>
      <c r="L210" s="186"/>
    </row>
    <row r="211" spans="2:12" x14ac:dyDescent="0.4">
      <c r="B211" s="139"/>
      <c r="C211" s="140"/>
      <c r="D211" s="172"/>
      <c r="E211" s="172"/>
      <c r="F211" s="172"/>
      <c r="G211" s="132"/>
      <c r="H211" s="132"/>
      <c r="I211" s="132"/>
      <c r="J211" s="185"/>
      <c r="K211" s="185"/>
      <c r="L211" s="186"/>
    </row>
    <row r="212" spans="2:12" x14ac:dyDescent="0.4">
      <c r="B212" s="139"/>
      <c r="C212" s="140"/>
      <c r="D212" s="172"/>
      <c r="E212" s="172"/>
      <c r="F212" s="172"/>
      <c r="G212" s="132"/>
      <c r="H212" s="132"/>
      <c r="I212" s="132"/>
      <c r="J212" s="185"/>
      <c r="K212" s="185"/>
      <c r="L212" s="186"/>
    </row>
    <row r="213" spans="2:12" x14ac:dyDescent="0.4">
      <c r="B213" s="139"/>
      <c r="C213" s="140"/>
      <c r="D213" s="172"/>
      <c r="E213" s="172"/>
      <c r="F213" s="172"/>
      <c r="G213" s="132"/>
      <c r="H213" s="132"/>
      <c r="I213" s="132"/>
      <c r="J213" s="185"/>
      <c r="K213" s="185"/>
      <c r="L213" s="186"/>
    </row>
    <row r="214" spans="2:12" x14ac:dyDescent="0.4">
      <c r="B214" s="139"/>
      <c r="C214" s="140"/>
      <c r="D214" s="172"/>
      <c r="E214" s="172"/>
      <c r="F214" s="172"/>
      <c r="G214" s="132"/>
      <c r="H214" s="132"/>
      <c r="I214" s="132"/>
      <c r="J214" s="185"/>
      <c r="K214" s="185"/>
      <c r="L214" s="186"/>
    </row>
    <row r="215" spans="2:12" x14ac:dyDescent="0.4">
      <c r="B215" s="139"/>
      <c r="C215" s="140"/>
      <c r="D215" s="172"/>
      <c r="E215" s="172"/>
      <c r="F215" s="172"/>
      <c r="G215" s="132"/>
      <c r="H215" s="132"/>
      <c r="I215" s="132"/>
      <c r="J215" s="185"/>
      <c r="K215" s="185"/>
      <c r="L215" s="186"/>
    </row>
    <row r="216" spans="2:12" x14ac:dyDescent="0.4">
      <c r="B216" s="139"/>
      <c r="C216" s="140"/>
      <c r="D216" s="172"/>
      <c r="E216" s="172"/>
      <c r="F216" s="172"/>
      <c r="G216" s="132"/>
      <c r="H216" s="132"/>
      <c r="I216" s="132"/>
      <c r="J216" s="185"/>
      <c r="K216" s="185"/>
      <c r="L216" s="186"/>
    </row>
    <row r="217" spans="2:12" x14ac:dyDescent="0.4">
      <c r="B217" s="139"/>
      <c r="C217" s="140"/>
      <c r="D217" s="172"/>
      <c r="E217" s="172"/>
      <c r="F217" s="172"/>
      <c r="G217" s="132"/>
      <c r="H217" s="132"/>
      <c r="I217" s="132"/>
      <c r="J217" s="185"/>
      <c r="K217" s="185"/>
      <c r="L217" s="186"/>
    </row>
    <row r="218" spans="2:12" x14ac:dyDescent="0.4">
      <c r="B218" s="139"/>
      <c r="C218" s="140"/>
      <c r="D218" s="172"/>
      <c r="E218" s="172"/>
      <c r="F218" s="172"/>
      <c r="G218" s="132"/>
      <c r="H218" s="132"/>
      <c r="I218" s="132"/>
      <c r="J218" s="185"/>
      <c r="K218" s="185"/>
      <c r="L218" s="186"/>
    </row>
    <row r="219" spans="2:12" x14ac:dyDescent="0.4">
      <c r="B219" s="139"/>
      <c r="C219" s="140"/>
      <c r="D219" s="172"/>
      <c r="E219" s="172"/>
      <c r="F219" s="172"/>
      <c r="G219" s="132"/>
      <c r="H219" s="132"/>
      <c r="I219" s="132"/>
      <c r="J219" s="185"/>
      <c r="K219" s="185"/>
      <c r="L219" s="186"/>
    </row>
    <row r="220" spans="2:12" x14ac:dyDescent="0.4">
      <c r="B220" s="139"/>
      <c r="C220" s="140"/>
      <c r="D220" s="172"/>
      <c r="E220" s="172"/>
      <c r="F220" s="172"/>
      <c r="G220" s="132"/>
      <c r="H220" s="132"/>
      <c r="I220" s="132"/>
      <c r="J220" s="185"/>
      <c r="K220" s="185"/>
      <c r="L220" s="186"/>
    </row>
    <row r="221" spans="2:12" x14ac:dyDescent="0.4">
      <c r="B221" s="139"/>
      <c r="C221" s="140"/>
      <c r="D221" s="172"/>
      <c r="E221" s="172"/>
      <c r="F221" s="172"/>
      <c r="G221" s="132"/>
      <c r="H221" s="132"/>
      <c r="I221" s="132"/>
      <c r="J221" s="185"/>
      <c r="K221" s="185"/>
      <c r="L221" s="186"/>
    </row>
    <row r="222" spans="2:12" x14ac:dyDescent="0.4">
      <c r="B222" s="139"/>
      <c r="C222" s="140"/>
      <c r="D222" s="172"/>
      <c r="E222" s="172"/>
      <c r="F222" s="172"/>
      <c r="G222" s="132"/>
      <c r="H222" s="132"/>
      <c r="I222" s="132"/>
      <c r="J222" s="185"/>
      <c r="K222" s="185"/>
      <c r="L222" s="186"/>
    </row>
    <row r="223" spans="2:12" x14ac:dyDescent="0.4">
      <c r="B223" s="139"/>
      <c r="C223" s="140"/>
      <c r="D223" s="172"/>
      <c r="E223" s="172"/>
      <c r="F223" s="172"/>
      <c r="G223" s="132"/>
      <c r="H223" s="132"/>
      <c r="I223" s="132"/>
      <c r="J223" s="185"/>
      <c r="K223" s="185"/>
      <c r="L223" s="186"/>
    </row>
    <row r="224" spans="2:12" x14ac:dyDescent="0.4">
      <c r="B224" s="139"/>
      <c r="C224" s="140"/>
      <c r="D224" s="172"/>
      <c r="E224" s="172"/>
      <c r="F224" s="172"/>
      <c r="G224" s="132"/>
      <c r="H224" s="132"/>
      <c r="I224" s="132"/>
      <c r="J224" s="185"/>
      <c r="K224" s="185"/>
      <c r="L224" s="186"/>
    </row>
    <row r="225" spans="2:12" x14ac:dyDescent="0.4">
      <c r="B225" s="139"/>
      <c r="C225" s="140"/>
      <c r="D225" s="172"/>
      <c r="E225" s="172"/>
      <c r="F225" s="172"/>
      <c r="G225" s="132"/>
      <c r="H225" s="132"/>
      <c r="I225" s="132"/>
      <c r="J225" s="185"/>
      <c r="K225" s="185"/>
      <c r="L225" s="186"/>
    </row>
    <row r="226" spans="2:12" x14ac:dyDescent="0.4">
      <c r="B226" s="139"/>
      <c r="C226" s="140"/>
      <c r="D226" s="172"/>
      <c r="E226" s="172"/>
      <c r="F226" s="172"/>
      <c r="G226" s="132"/>
      <c r="H226" s="132"/>
      <c r="I226" s="132"/>
      <c r="J226" s="185"/>
      <c r="K226" s="185"/>
      <c r="L226" s="186"/>
    </row>
    <row r="227" spans="2:12" x14ac:dyDescent="0.4">
      <c r="B227" s="139"/>
      <c r="C227" s="140"/>
      <c r="D227" s="172"/>
      <c r="E227" s="172"/>
      <c r="F227" s="172"/>
      <c r="G227" s="132"/>
      <c r="H227" s="132"/>
      <c r="I227" s="132"/>
      <c r="J227" s="185"/>
      <c r="K227" s="185"/>
      <c r="L227" s="186"/>
    </row>
    <row r="228" spans="2:12" x14ac:dyDescent="0.4">
      <c r="B228" s="139"/>
      <c r="C228" s="140"/>
      <c r="D228" s="172"/>
      <c r="E228" s="172"/>
      <c r="F228" s="172"/>
      <c r="G228" s="132"/>
      <c r="H228" s="132"/>
      <c r="I228" s="132"/>
      <c r="J228" s="185"/>
      <c r="K228" s="185"/>
      <c r="L228" s="186"/>
    </row>
    <row r="229" spans="2:12" x14ac:dyDescent="0.4">
      <c r="B229" s="139"/>
      <c r="C229" s="140"/>
      <c r="D229" s="172"/>
      <c r="E229" s="172"/>
      <c r="F229" s="172"/>
      <c r="G229" s="132"/>
      <c r="H229" s="132"/>
      <c r="I229" s="132"/>
      <c r="J229" s="185"/>
      <c r="K229" s="185"/>
      <c r="L229" s="186"/>
    </row>
    <row r="230" spans="2:12" x14ac:dyDescent="0.4">
      <c r="B230" s="139"/>
      <c r="C230" s="140"/>
      <c r="D230" s="172"/>
      <c r="E230" s="172"/>
      <c r="F230" s="172"/>
      <c r="G230" s="132"/>
      <c r="H230" s="132"/>
      <c r="I230" s="132"/>
      <c r="J230" s="185"/>
      <c r="K230" s="185"/>
      <c r="L230" s="186"/>
    </row>
    <row r="231" spans="2:12" x14ac:dyDescent="0.4">
      <c r="B231" s="139"/>
      <c r="C231" s="140"/>
      <c r="D231" s="172"/>
      <c r="E231" s="172"/>
      <c r="F231" s="172"/>
      <c r="G231" s="132"/>
      <c r="H231" s="132"/>
      <c r="I231" s="132"/>
      <c r="J231" s="185"/>
      <c r="K231" s="185"/>
      <c r="L231" s="186"/>
    </row>
    <row r="232" spans="2:12" x14ac:dyDescent="0.4">
      <c r="B232" s="139"/>
      <c r="C232" s="140"/>
      <c r="D232" s="172"/>
      <c r="E232" s="172"/>
      <c r="F232" s="172"/>
      <c r="G232" s="132"/>
      <c r="H232" s="132"/>
      <c r="I232" s="132"/>
      <c r="J232" s="185"/>
      <c r="K232" s="185"/>
      <c r="L232" s="186"/>
    </row>
    <row r="233" spans="2:12" x14ac:dyDescent="0.4">
      <c r="B233" s="139"/>
      <c r="C233" s="140"/>
      <c r="D233" s="172"/>
      <c r="E233" s="172"/>
      <c r="F233" s="172"/>
      <c r="G233" s="132"/>
      <c r="H233" s="132"/>
      <c r="I233" s="132"/>
      <c r="J233" s="185"/>
      <c r="K233" s="185"/>
      <c r="L233" s="186"/>
    </row>
    <row r="234" spans="2:12" x14ac:dyDescent="0.4">
      <c r="B234" s="139"/>
      <c r="C234" s="140"/>
      <c r="D234" s="172"/>
      <c r="E234" s="172"/>
      <c r="F234" s="172"/>
      <c r="G234" s="132"/>
      <c r="H234" s="132"/>
      <c r="I234" s="132"/>
      <c r="J234" s="185"/>
      <c r="K234" s="185"/>
      <c r="L234" s="186"/>
    </row>
    <row r="235" spans="2:12" x14ac:dyDescent="0.4">
      <c r="B235" s="139"/>
      <c r="C235" s="140"/>
      <c r="D235" s="172"/>
      <c r="E235" s="172"/>
      <c r="F235" s="172"/>
      <c r="G235" s="132"/>
      <c r="H235" s="132"/>
      <c r="I235" s="132"/>
      <c r="J235" s="185"/>
      <c r="K235" s="185"/>
      <c r="L235" s="186"/>
    </row>
    <row r="236" spans="2:12" x14ac:dyDescent="0.4">
      <c r="B236" s="139"/>
      <c r="C236" s="140"/>
      <c r="D236" s="172"/>
      <c r="E236" s="172"/>
      <c r="F236" s="172"/>
      <c r="G236" s="132"/>
      <c r="H236" s="132"/>
      <c r="I236" s="132"/>
      <c r="J236" s="185"/>
      <c r="K236" s="185"/>
      <c r="L236" s="186"/>
    </row>
    <row r="237" spans="2:12" x14ac:dyDescent="0.4">
      <c r="B237" s="139"/>
      <c r="C237" s="140"/>
      <c r="D237" s="172"/>
      <c r="E237" s="172"/>
      <c r="F237" s="172"/>
      <c r="G237" s="132"/>
      <c r="H237" s="132"/>
      <c r="I237" s="132"/>
      <c r="J237" s="185"/>
      <c r="K237" s="185"/>
      <c r="L237" s="186"/>
    </row>
    <row r="238" spans="2:12" x14ac:dyDescent="0.4">
      <c r="B238" s="139"/>
      <c r="C238" s="140"/>
      <c r="D238" s="172"/>
      <c r="E238" s="172"/>
      <c r="F238" s="172"/>
      <c r="G238" s="132"/>
      <c r="H238" s="132"/>
      <c r="I238" s="132"/>
      <c r="J238" s="185"/>
      <c r="K238" s="185"/>
      <c r="L238" s="186"/>
    </row>
    <row r="239" spans="2:12" x14ac:dyDescent="0.4">
      <c r="B239" s="139"/>
      <c r="C239" s="140"/>
      <c r="D239" s="172"/>
      <c r="E239" s="172"/>
      <c r="F239" s="172"/>
      <c r="G239" s="132"/>
      <c r="H239" s="132"/>
      <c r="I239" s="132"/>
      <c r="J239" s="185"/>
      <c r="K239" s="185"/>
      <c r="L239" s="186"/>
    </row>
    <row r="240" spans="2:12" x14ac:dyDescent="0.4">
      <c r="B240" s="139"/>
      <c r="C240" s="140"/>
      <c r="D240" s="172"/>
      <c r="E240" s="172"/>
      <c r="F240" s="172"/>
      <c r="G240" s="132"/>
      <c r="H240" s="132"/>
      <c r="I240" s="132"/>
      <c r="J240" s="185"/>
      <c r="K240" s="185"/>
      <c r="L240" s="186"/>
    </row>
    <row r="241" spans="2:12" x14ac:dyDescent="0.4">
      <c r="B241" s="139"/>
      <c r="C241" s="140"/>
      <c r="D241" s="172"/>
      <c r="E241" s="172"/>
      <c r="F241" s="172"/>
      <c r="G241" s="132"/>
      <c r="H241" s="132"/>
      <c r="I241" s="132"/>
      <c r="J241" s="185"/>
      <c r="K241" s="185"/>
      <c r="L241" s="186"/>
    </row>
    <row r="242" spans="2:12" x14ac:dyDescent="0.4">
      <c r="B242" s="139"/>
      <c r="C242" s="140"/>
      <c r="D242" s="172"/>
      <c r="E242" s="172"/>
      <c r="F242" s="172"/>
      <c r="G242" s="132"/>
      <c r="H242" s="132"/>
      <c r="I242" s="132"/>
      <c r="J242" s="185"/>
      <c r="K242" s="185"/>
      <c r="L242" s="186"/>
    </row>
    <row r="243" spans="2:12" x14ac:dyDescent="0.4">
      <c r="B243" s="139"/>
      <c r="C243" s="140"/>
      <c r="D243" s="172"/>
      <c r="E243" s="172"/>
      <c r="F243" s="172"/>
      <c r="G243" s="132"/>
      <c r="H243" s="132"/>
      <c r="I243" s="132"/>
      <c r="J243" s="185"/>
      <c r="K243" s="185"/>
      <c r="L243" s="186"/>
    </row>
    <row r="244" spans="2:12" x14ac:dyDescent="0.4">
      <c r="B244" s="139"/>
      <c r="C244" s="140"/>
      <c r="D244" s="172"/>
      <c r="E244" s="172"/>
      <c r="F244" s="172"/>
      <c r="G244" s="132"/>
      <c r="H244" s="132"/>
      <c r="I244" s="132"/>
      <c r="J244" s="185"/>
      <c r="K244" s="185"/>
      <c r="L244" s="186"/>
    </row>
    <row r="245" spans="2:12" x14ac:dyDescent="0.4">
      <c r="B245" s="139"/>
      <c r="C245" s="140"/>
      <c r="D245" s="172"/>
      <c r="E245" s="172"/>
      <c r="F245" s="172"/>
      <c r="G245" s="132"/>
      <c r="H245" s="132"/>
      <c r="I245" s="132"/>
      <c r="J245" s="185"/>
      <c r="K245" s="185"/>
      <c r="L245" s="186"/>
    </row>
    <row r="246" spans="2:12" x14ac:dyDescent="0.4">
      <c r="B246" s="139"/>
      <c r="C246" s="140"/>
      <c r="D246" s="172"/>
      <c r="E246" s="172"/>
      <c r="F246" s="172"/>
      <c r="G246" s="132"/>
      <c r="H246" s="132"/>
      <c r="I246" s="132"/>
      <c r="J246" s="185"/>
      <c r="K246" s="185"/>
      <c r="L246" s="186"/>
    </row>
    <row r="247" spans="2:12" x14ac:dyDescent="0.4">
      <c r="B247" s="139"/>
      <c r="C247" s="140"/>
      <c r="D247" s="172"/>
      <c r="E247" s="172"/>
      <c r="F247" s="172"/>
      <c r="G247" s="132"/>
      <c r="H247" s="132"/>
      <c r="I247" s="132"/>
      <c r="J247" s="185"/>
      <c r="K247" s="185"/>
      <c r="L247" s="186"/>
    </row>
    <row r="248" spans="2:12" x14ac:dyDescent="0.4">
      <c r="B248" s="139"/>
      <c r="C248" s="140"/>
      <c r="D248" s="172"/>
      <c r="E248" s="172"/>
      <c r="F248" s="172"/>
      <c r="G248" s="132"/>
      <c r="H248" s="132"/>
      <c r="I248" s="132"/>
      <c r="J248" s="185"/>
      <c r="K248" s="185"/>
      <c r="L248" s="186"/>
    </row>
    <row r="249" spans="2:12" x14ac:dyDescent="0.4">
      <c r="B249" s="139"/>
      <c r="C249" s="140"/>
      <c r="D249" s="172"/>
      <c r="E249" s="172"/>
      <c r="F249" s="172"/>
      <c r="G249" s="132"/>
      <c r="H249" s="132"/>
      <c r="I249" s="132"/>
      <c r="J249" s="185"/>
      <c r="K249" s="185"/>
      <c r="L249" s="186"/>
    </row>
    <row r="250" spans="2:12" x14ac:dyDescent="0.4">
      <c r="B250" s="139"/>
      <c r="C250" s="140"/>
      <c r="D250" s="172"/>
      <c r="E250" s="172"/>
      <c r="F250" s="172"/>
      <c r="G250" s="132"/>
      <c r="H250" s="132"/>
      <c r="I250" s="132"/>
      <c r="J250" s="185"/>
      <c r="K250" s="185"/>
      <c r="L250" s="186"/>
    </row>
    <row r="251" spans="2:12" x14ac:dyDescent="0.4">
      <c r="B251" s="139"/>
      <c r="C251" s="140"/>
      <c r="D251" s="172"/>
      <c r="E251" s="172"/>
      <c r="F251" s="172"/>
      <c r="G251" s="132"/>
      <c r="H251" s="132"/>
      <c r="I251" s="132"/>
      <c r="J251" s="185"/>
      <c r="K251" s="185"/>
      <c r="L251" s="186"/>
    </row>
    <row r="252" spans="2:12" x14ac:dyDescent="0.4">
      <c r="B252" s="139"/>
      <c r="C252" s="140"/>
      <c r="D252" s="172"/>
      <c r="E252" s="172"/>
      <c r="F252" s="172"/>
      <c r="G252" s="132"/>
      <c r="H252" s="132"/>
      <c r="I252" s="132"/>
      <c r="J252" s="185"/>
      <c r="K252" s="185"/>
      <c r="L252" s="186"/>
    </row>
    <row r="253" spans="2:12" x14ac:dyDescent="0.4">
      <c r="B253" s="139"/>
      <c r="C253" s="140"/>
      <c r="D253" s="172"/>
      <c r="E253" s="172"/>
      <c r="F253" s="172"/>
      <c r="G253" s="132"/>
      <c r="H253" s="132"/>
      <c r="I253" s="132"/>
      <c r="J253" s="185"/>
      <c r="K253" s="185"/>
      <c r="L253" s="186"/>
    </row>
    <row r="254" spans="2:12" x14ac:dyDescent="0.4">
      <c r="B254" s="139"/>
      <c r="C254" s="140"/>
      <c r="D254" s="172"/>
      <c r="E254" s="172"/>
      <c r="F254" s="172"/>
      <c r="G254" s="132"/>
      <c r="H254" s="132"/>
      <c r="I254" s="132"/>
      <c r="J254" s="185"/>
      <c r="K254" s="185"/>
      <c r="L254" s="186"/>
    </row>
    <row r="255" spans="2:12" ht="13.5" thickBot="1" x14ac:dyDescent="0.45">
      <c r="B255" s="141"/>
      <c r="C255" s="142"/>
      <c r="D255" s="191"/>
      <c r="E255" s="191"/>
      <c r="F255" s="191"/>
      <c r="G255" s="133"/>
      <c r="H255" s="133"/>
      <c r="I255" s="133"/>
      <c r="J255" s="192"/>
      <c r="K255" s="192"/>
      <c r="L255" s="193"/>
    </row>
  </sheetData>
  <mergeCells count="1034">
    <mergeCell ref="AJ2:AK2"/>
    <mergeCell ref="AJ3:AJ4"/>
    <mergeCell ref="AD2:AE2"/>
    <mergeCell ref="AD3:AD4"/>
    <mergeCell ref="AF2:AG2"/>
    <mergeCell ref="AF3:AF4"/>
    <mergeCell ref="AH2:AI2"/>
    <mergeCell ref="AH3:AH4"/>
    <mergeCell ref="X2:Y2"/>
    <mergeCell ref="X3:X4"/>
    <mergeCell ref="Z2:AA2"/>
    <mergeCell ref="Z3:Z4"/>
    <mergeCell ref="AB2:AC2"/>
    <mergeCell ref="AB3:AB4"/>
    <mergeCell ref="R2:S2"/>
    <mergeCell ref="R3:R4"/>
    <mergeCell ref="T2:U2"/>
    <mergeCell ref="T3:T4"/>
    <mergeCell ref="V2:W2"/>
    <mergeCell ref="V3:V4"/>
    <mergeCell ref="N3:N4"/>
    <mergeCell ref="N2:O2"/>
    <mergeCell ref="P2:Q2"/>
    <mergeCell ref="P3:P4"/>
    <mergeCell ref="B254:C254"/>
    <mergeCell ref="D254:F254"/>
    <mergeCell ref="G254:I254"/>
    <mergeCell ref="J254:L254"/>
    <mergeCell ref="B255:C255"/>
    <mergeCell ref="D255:F255"/>
    <mergeCell ref="G255:I255"/>
    <mergeCell ref="J255:L255"/>
    <mergeCell ref="B252:C252"/>
    <mergeCell ref="D252:F252"/>
    <mergeCell ref="G252:I252"/>
    <mergeCell ref="J252:L252"/>
    <mergeCell ref="B253:C253"/>
    <mergeCell ref="D253:F253"/>
    <mergeCell ref="G253:I253"/>
    <mergeCell ref="J253:L253"/>
    <mergeCell ref="B250:C250"/>
    <mergeCell ref="D250:F250"/>
    <mergeCell ref="G250:I250"/>
    <mergeCell ref="J250:L250"/>
    <mergeCell ref="B251:C251"/>
    <mergeCell ref="D251:F251"/>
    <mergeCell ref="G251:I251"/>
    <mergeCell ref="J251:L251"/>
    <mergeCell ref="B248:C248"/>
    <mergeCell ref="D248:F248"/>
    <mergeCell ref="G248:I248"/>
    <mergeCell ref="J248:L248"/>
    <mergeCell ref="B249:C249"/>
    <mergeCell ref="D249:F249"/>
    <mergeCell ref="G249:I249"/>
    <mergeCell ref="J249:L249"/>
    <mergeCell ref="B246:C246"/>
    <mergeCell ref="D246:F246"/>
    <mergeCell ref="G246:I246"/>
    <mergeCell ref="J246:L246"/>
    <mergeCell ref="B247:C247"/>
    <mergeCell ref="D247:F247"/>
    <mergeCell ref="G247:I247"/>
    <mergeCell ref="J247:L247"/>
    <mergeCell ref="B244:C244"/>
    <mergeCell ref="D244:F244"/>
    <mergeCell ref="G244:I244"/>
    <mergeCell ref="J244:L244"/>
    <mergeCell ref="B245:C245"/>
    <mergeCell ref="D245:F245"/>
    <mergeCell ref="G245:I245"/>
    <mergeCell ref="J245:L245"/>
    <mergeCell ref="B242:C242"/>
    <mergeCell ref="D242:F242"/>
    <mergeCell ref="G242:I242"/>
    <mergeCell ref="J242:L242"/>
    <mergeCell ref="B243:C243"/>
    <mergeCell ref="D243:F243"/>
    <mergeCell ref="G243:I243"/>
    <mergeCell ref="J243:L243"/>
    <mergeCell ref="B240:C240"/>
    <mergeCell ref="D240:F240"/>
    <mergeCell ref="G240:I240"/>
    <mergeCell ref="J240:L240"/>
    <mergeCell ref="B241:C241"/>
    <mergeCell ref="D241:F241"/>
    <mergeCell ref="G241:I241"/>
    <mergeCell ref="J241:L241"/>
    <mergeCell ref="B238:C238"/>
    <mergeCell ref="D238:F238"/>
    <mergeCell ref="G238:I238"/>
    <mergeCell ref="J238:L238"/>
    <mergeCell ref="B239:C239"/>
    <mergeCell ref="D239:F239"/>
    <mergeCell ref="G239:I239"/>
    <mergeCell ref="J239:L239"/>
    <mergeCell ref="B236:C236"/>
    <mergeCell ref="D236:F236"/>
    <mergeCell ref="G236:I236"/>
    <mergeCell ref="J236:L236"/>
    <mergeCell ref="B237:C237"/>
    <mergeCell ref="D237:F237"/>
    <mergeCell ref="G237:I237"/>
    <mergeCell ref="J237:L237"/>
    <mergeCell ref="B234:C234"/>
    <mergeCell ref="D234:F234"/>
    <mergeCell ref="G234:I234"/>
    <mergeCell ref="J234:L234"/>
    <mergeCell ref="B235:C235"/>
    <mergeCell ref="D235:F235"/>
    <mergeCell ref="G235:I235"/>
    <mergeCell ref="J235:L235"/>
    <mergeCell ref="B232:C232"/>
    <mergeCell ref="D232:F232"/>
    <mergeCell ref="G232:I232"/>
    <mergeCell ref="J232:L232"/>
    <mergeCell ref="B233:C233"/>
    <mergeCell ref="D233:F233"/>
    <mergeCell ref="G233:I233"/>
    <mergeCell ref="J233:L233"/>
    <mergeCell ref="B230:C230"/>
    <mergeCell ref="D230:F230"/>
    <mergeCell ref="G230:I230"/>
    <mergeCell ref="J230:L230"/>
    <mergeCell ref="B231:C231"/>
    <mergeCell ref="D231:F231"/>
    <mergeCell ref="G231:I231"/>
    <mergeCell ref="J231:L231"/>
    <mergeCell ref="B228:C228"/>
    <mergeCell ref="D228:F228"/>
    <mergeCell ref="G228:I228"/>
    <mergeCell ref="J228:L228"/>
    <mergeCell ref="B229:C229"/>
    <mergeCell ref="D229:F229"/>
    <mergeCell ref="G229:I229"/>
    <mergeCell ref="J229:L229"/>
    <mergeCell ref="B226:C226"/>
    <mergeCell ref="D226:F226"/>
    <mergeCell ref="G226:I226"/>
    <mergeCell ref="J226:L226"/>
    <mergeCell ref="B227:C227"/>
    <mergeCell ref="D227:F227"/>
    <mergeCell ref="G227:I227"/>
    <mergeCell ref="J227:L227"/>
    <mergeCell ref="B224:C224"/>
    <mergeCell ref="D224:F224"/>
    <mergeCell ref="G224:I224"/>
    <mergeCell ref="J224:L224"/>
    <mergeCell ref="B225:C225"/>
    <mergeCell ref="D225:F225"/>
    <mergeCell ref="G225:I225"/>
    <mergeCell ref="J225:L225"/>
    <mergeCell ref="B222:C222"/>
    <mergeCell ref="D222:F222"/>
    <mergeCell ref="G222:I222"/>
    <mergeCell ref="J222:L222"/>
    <mergeCell ref="B223:C223"/>
    <mergeCell ref="D223:F223"/>
    <mergeCell ref="G223:I223"/>
    <mergeCell ref="J223:L223"/>
    <mergeCell ref="B220:C220"/>
    <mergeCell ref="D220:F220"/>
    <mergeCell ref="G220:I220"/>
    <mergeCell ref="J220:L220"/>
    <mergeCell ref="B221:C221"/>
    <mergeCell ref="D221:F221"/>
    <mergeCell ref="G221:I221"/>
    <mergeCell ref="J221:L221"/>
    <mergeCell ref="B218:C218"/>
    <mergeCell ref="D218:F218"/>
    <mergeCell ref="G218:I218"/>
    <mergeCell ref="J218:L218"/>
    <mergeCell ref="B219:C219"/>
    <mergeCell ref="D219:F219"/>
    <mergeCell ref="G219:I219"/>
    <mergeCell ref="J219:L219"/>
    <mergeCell ref="B216:C216"/>
    <mergeCell ref="D216:F216"/>
    <mergeCell ref="G216:I216"/>
    <mergeCell ref="J216:L216"/>
    <mergeCell ref="B217:C217"/>
    <mergeCell ref="D217:F217"/>
    <mergeCell ref="G217:I217"/>
    <mergeCell ref="J217:L217"/>
    <mergeCell ref="B214:C214"/>
    <mergeCell ref="D214:F214"/>
    <mergeCell ref="G214:I214"/>
    <mergeCell ref="J214:L214"/>
    <mergeCell ref="B215:C215"/>
    <mergeCell ref="D215:F215"/>
    <mergeCell ref="G215:I215"/>
    <mergeCell ref="J215:L215"/>
    <mergeCell ref="B212:C212"/>
    <mergeCell ref="D212:F212"/>
    <mergeCell ref="G212:I212"/>
    <mergeCell ref="J212:L212"/>
    <mergeCell ref="B213:C213"/>
    <mergeCell ref="D213:F213"/>
    <mergeCell ref="G213:I213"/>
    <mergeCell ref="J213:L213"/>
    <mergeCell ref="B210:C210"/>
    <mergeCell ref="D210:F210"/>
    <mergeCell ref="G210:I210"/>
    <mergeCell ref="J210:L210"/>
    <mergeCell ref="B211:C211"/>
    <mergeCell ref="D211:F211"/>
    <mergeCell ref="G211:I211"/>
    <mergeCell ref="J211:L211"/>
    <mergeCell ref="B208:C208"/>
    <mergeCell ref="D208:F208"/>
    <mergeCell ref="G208:I208"/>
    <mergeCell ref="J208:L208"/>
    <mergeCell ref="B209:C209"/>
    <mergeCell ref="D209:F209"/>
    <mergeCell ref="G209:I209"/>
    <mergeCell ref="J209:L209"/>
    <mergeCell ref="B206:C206"/>
    <mergeCell ref="D206:F206"/>
    <mergeCell ref="G206:I206"/>
    <mergeCell ref="J206:L206"/>
    <mergeCell ref="B207:C207"/>
    <mergeCell ref="D207:F207"/>
    <mergeCell ref="G207:I207"/>
    <mergeCell ref="J207:L207"/>
    <mergeCell ref="B204:C204"/>
    <mergeCell ref="D204:F204"/>
    <mergeCell ref="G204:I204"/>
    <mergeCell ref="J204:L204"/>
    <mergeCell ref="B205:C205"/>
    <mergeCell ref="D205:F205"/>
    <mergeCell ref="G205:I205"/>
    <mergeCell ref="J205:L205"/>
    <mergeCell ref="B202:C202"/>
    <mergeCell ref="D202:F202"/>
    <mergeCell ref="G202:I202"/>
    <mergeCell ref="J202:L202"/>
    <mergeCell ref="B203:C203"/>
    <mergeCell ref="D203:F203"/>
    <mergeCell ref="G203:I203"/>
    <mergeCell ref="J203:L203"/>
    <mergeCell ref="B200:C200"/>
    <mergeCell ref="D200:F200"/>
    <mergeCell ref="G200:I200"/>
    <mergeCell ref="J200:L200"/>
    <mergeCell ref="B201:C201"/>
    <mergeCell ref="D201:F201"/>
    <mergeCell ref="G201:I201"/>
    <mergeCell ref="J201:L201"/>
    <mergeCell ref="B198:C198"/>
    <mergeCell ref="D198:F198"/>
    <mergeCell ref="G198:I198"/>
    <mergeCell ref="J198:L198"/>
    <mergeCell ref="B199:C199"/>
    <mergeCell ref="D199:F199"/>
    <mergeCell ref="G199:I199"/>
    <mergeCell ref="J199:L199"/>
    <mergeCell ref="B196:C196"/>
    <mergeCell ref="D196:F196"/>
    <mergeCell ref="G196:I196"/>
    <mergeCell ref="J196:L196"/>
    <mergeCell ref="B197:C197"/>
    <mergeCell ref="D197:F197"/>
    <mergeCell ref="G197:I197"/>
    <mergeCell ref="J197:L197"/>
    <mergeCell ref="B194:C194"/>
    <mergeCell ref="D194:F194"/>
    <mergeCell ref="G194:I194"/>
    <mergeCell ref="J194:L194"/>
    <mergeCell ref="B195:C195"/>
    <mergeCell ref="D195:F195"/>
    <mergeCell ref="G195:I195"/>
    <mergeCell ref="J195:L195"/>
    <mergeCell ref="B192:C192"/>
    <mergeCell ref="D192:F192"/>
    <mergeCell ref="G192:I192"/>
    <mergeCell ref="J192:L192"/>
    <mergeCell ref="B193:C193"/>
    <mergeCell ref="D193:F193"/>
    <mergeCell ref="G193:I193"/>
    <mergeCell ref="J193:L193"/>
    <mergeCell ref="B190:C190"/>
    <mergeCell ref="D190:F190"/>
    <mergeCell ref="G190:I190"/>
    <mergeCell ref="J190:L190"/>
    <mergeCell ref="B191:C191"/>
    <mergeCell ref="D191:F191"/>
    <mergeCell ref="G191:I191"/>
    <mergeCell ref="J191:L191"/>
    <mergeCell ref="B188:C188"/>
    <mergeCell ref="D188:F188"/>
    <mergeCell ref="G188:I188"/>
    <mergeCell ref="J188:L188"/>
    <mergeCell ref="B189:C189"/>
    <mergeCell ref="D189:F189"/>
    <mergeCell ref="G189:I189"/>
    <mergeCell ref="J189:L189"/>
    <mergeCell ref="B186:C186"/>
    <mergeCell ref="D186:F186"/>
    <mergeCell ref="G186:I186"/>
    <mergeCell ref="J186:L186"/>
    <mergeCell ref="B187:C187"/>
    <mergeCell ref="D187:F187"/>
    <mergeCell ref="G187:I187"/>
    <mergeCell ref="J187:L187"/>
    <mergeCell ref="B184:C184"/>
    <mergeCell ref="D184:F184"/>
    <mergeCell ref="G184:I184"/>
    <mergeCell ref="J184:L184"/>
    <mergeCell ref="B185:C185"/>
    <mergeCell ref="D185:F185"/>
    <mergeCell ref="G185:I185"/>
    <mergeCell ref="J185:L185"/>
    <mergeCell ref="B182:C182"/>
    <mergeCell ref="D182:F182"/>
    <mergeCell ref="G182:I182"/>
    <mergeCell ref="J182:L182"/>
    <mergeCell ref="B183:C183"/>
    <mergeCell ref="D183:F183"/>
    <mergeCell ref="G183:I183"/>
    <mergeCell ref="J183:L183"/>
    <mergeCell ref="B180:C180"/>
    <mergeCell ref="D180:F180"/>
    <mergeCell ref="G180:I180"/>
    <mergeCell ref="J180:L180"/>
    <mergeCell ref="B181:C181"/>
    <mergeCell ref="D181:F181"/>
    <mergeCell ref="G181:I181"/>
    <mergeCell ref="J181:L181"/>
    <mergeCell ref="B178:C178"/>
    <mergeCell ref="D178:F178"/>
    <mergeCell ref="G178:I178"/>
    <mergeCell ref="J178:L178"/>
    <mergeCell ref="B179:C179"/>
    <mergeCell ref="D179:F179"/>
    <mergeCell ref="G179:I179"/>
    <mergeCell ref="J179:L179"/>
    <mergeCell ref="B176:C176"/>
    <mergeCell ref="D176:F176"/>
    <mergeCell ref="G176:I176"/>
    <mergeCell ref="J176:L176"/>
    <mergeCell ref="B177:C177"/>
    <mergeCell ref="D177:F177"/>
    <mergeCell ref="G177:I177"/>
    <mergeCell ref="J177:L177"/>
    <mergeCell ref="B174:C174"/>
    <mergeCell ref="D174:F174"/>
    <mergeCell ref="G174:I174"/>
    <mergeCell ref="J174:L174"/>
    <mergeCell ref="B175:C175"/>
    <mergeCell ref="D175:F175"/>
    <mergeCell ref="G175:I175"/>
    <mergeCell ref="J175:L175"/>
    <mergeCell ref="B172:C172"/>
    <mergeCell ref="D172:F172"/>
    <mergeCell ref="G172:I172"/>
    <mergeCell ref="J172:L172"/>
    <mergeCell ref="B173:C173"/>
    <mergeCell ref="D173:F173"/>
    <mergeCell ref="G173:I173"/>
    <mergeCell ref="J173:L173"/>
    <mergeCell ref="B170:C170"/>
    <mergeCell ref="D170:F170"/>
    <mergeCell ref="G170:I170"/>
    <mergeCell ref="J170:L170"/>
    <mergeCell ref="B171:C171"/>
    <mergeCell ref="D171:F171"/>
    <mergeCell ref="G171:I171"/>
    <mergeCell ref="J171:L171"/>
    <mergeCell ref="B168:C168"/>
    <mergeCell ref="D168:F168"/>
    <mergeCell ref="G168:I168"/>
    <mergeCell ref="J168:L168"/>
    <mergeCell ref="B169:C169"/>
    <mergeCell ref="D169:F169"/>
    <mergeCell ref="G169:I169"/>
    <mergeCell ref="J169:L169"/>
    <mergeCell ref="B166:C166"/>
    <mergeCell ref="D166:F166"/>
    <mergeCell ref="G166:I166"/>
    <mergeCell ref="J166:L166"/>
    <mergeCell ref="B167:C167"/>
    <mergeCell ref="D167:F167"/>
    <mergeCell ref="G167:I167"/>
    <mergeCell ref="J167:L167"/>
    <mergeCell ref="B164:C164"/>
    <mergeCell ref="D164:F164"/>
    <mergeCell ref="G164:I164"/>
    <mergeCell ref="J164:L164"/>
    <mergeCell ref="B165:C165"/>
    <mergeCell ref="D165:F165"/>
    <mergeCell ref="G165:I165"/>
    <mergeCell ref="J165:L165"/>
    <mergeCell ref="B162:C162"/>
    <mergeCell ref="D162:F162"/>
    <mergeCell ref="G162:I162"/>
    <mergeCell ref="J162:L162"/>
    <mergeCell ref="B163:C163"/>
    <mergeCell ref="D163:F163"/>
    <mergeCell ref="G163:I163"/>
    <mergeCell ref="J163:L163"/>
    <mergeCell ref="B160:C160"/>
    <mergeCell ref="D160:F160"/>
    <mergeCell ref="G160:I160"/>
    <mergeCell ref="J160:L160"/>
    <mergeCell ref="B161:C161"/>
    <mergeCell ref="D161:F161"/>
    <mergeCell ref="G161:I161"/>
    <mergeCell ref="J161:L161"/>
    <mergeCell ref="B158:C158"/>
    <mergeCell ref="D158:F158"/>
    <mergeCell ref="G158:I158"/>
    <mergeCell ref="J158:L158"/>
    <mergeCell ref="B159:C159"/>
    <mergeCell ref="D159:F159"/>
    <mergeCell ref="G159:I159"/>
    <mergeCell ref="J159:L159"/>
    <mergeCell ref="B156:C156"/>
    <mergeCell ref="D156:F156"/>
    <mergeCell ref="G156:I156"/>
    <mergeCell ref="J156:L156"/>
    <mergeCell ref="B157:C157"/>
    <mergeCell ref="D157:F157"/>
    <mergeCell ref="G157:I157"/>
    <mergeCell ref="J157:L157"/>
    <mergeCell ref="B154:C154"/>
    <mergeCell ref="D154:F154"/>
    <mergeCell ref="G154:I154"/>
    <mergeCell ref="J154:L154"/>
    <mergeCell ref="B155:C155"/>
    <mergeCell ref="D155:F155"/>
    <mergeCell ref="G155:I155"/>
    <mergeCell ref="J155:L155"/>
    <mergeCell ref="B152:C152"/>
    <mergeCell ref="D152:F152"/>
    <mergeCell ref="G152:I152"/>
    <mergeCell ref="J152:L152"/>
    <mergeCell ref="B153:C153"/>
    <mergeCell ref="D153:F153"/>
    <mergeCell ref="G153:I153"/>
    <mergeCell ref="J153:L153"/>
    <mergeCell ref="B150:C150"/>
    <mergeCell ref="D150:F150"/>
    <mergeCell ref="G150:I150"/>
    <mergeCell ref="J150:L150"/>
    <mergeCell ref="B151:C151"/>
    <mergeCell ref="D151:F151"/>
    <mergeCell ref="G151:I151"/>
    <mergeCell ref="J151:L151"/>
    <mergeCell ref="B148:C148"/>
    <mergeCell ref="D148:F148"/>
    <mergeCell ref="G148:I148"/>
    <mergeCell ref="J148:L148"/>
    <mergeCell ref="B149:C149"/>
    <mergeCell ref="D149:F149"/>
    <mergeCell ref="G149:I149"/>
    <mergeCell ref="J149:L149"/>
    <mergeCell ref="B146:C146"/>
    <mergeCell ref="D146:F146"/>
    <mergeCell ref="G146:I146"/>
    <mergeCell ref="J146:L146"/>
    <mergeCell ref="B147:C147"/>
    <mergeCell ref="D147:F147"/>
    <mergeCell ref="G147:I147"/>
    <mergeCell ref="J147:L147"/>
    <mergeCell ref="B144:C144"/>
    <mergeCell ref="D144:F144"/>
    <mergeCell ref="G144:I144"/>
    <mergeCell ref="J144:L144"/>
    <mergeCell ref="B145:C145"/>
    <mergeCell ref="D145:F145"/>
    <mergeCell ref="G145:I145"/>
    <mergeCell ref="J145:L145"/>
    <mergeCell ref="B142:C142"/>
    <mergeCell ref="D142:F142"/>
    <mergeCell ref="G142:I142"/>
    <mergeCell ref="J142:L142"/>
    <mergeCell ref="B143:C143"/>
    <mergeCell ref="D143:F143"/>
    <mergeCell ref="G143:I143"/>
    <mergeCell ref="J143:L143"/>
    <mergeCell ref="B140:C140"/>
    <mergeCell ref="D140:F140"/>
    <mergeCell ref="G140:I140"/>
    <mergeCell ref="J140:L140"/>
    <mergeCell ref="B141:C141"/>
    <mergeCell ref="D141:F141"/>
    <mergeCell ref="G141:I141"/>
    <mergeCell ref="J141:L141"/>
    <mergeCell ref="B138:C138"/>
    <mergeCell ref="D138:F138"/>
    <mergeCell ref="G138:I138"/>
    <mergeCell ref="J138:L138"/>
    <mergeCell ref="B139:C139"/>
    <mergeCell ref="D139:F139"/>
    <mergeCell ref="G139:I139"/>
    <mergeCell ref="J139:L139"/>
    <mergeCell ref="B136:C136"/>
    <mergeCell ref="D136:F136"/>
    <mergeCell ref="G136:I136"/>
    <mergeCell ref="J136:L136"/>
    <mergeCell ref="B137:C137"/>
    <mergeCell ref="D137:F137"/>
    <mergeCell ref="G137:I137"/>
    <mergeCell ref="J137:L137"/>
    <mergeCell ref="B134:C134"/>
    <mergeCell ref="D134:F134"/>
    <mergeCell ref="G134:I134"/>
    <mergeCell ref="J134:L134"/>
    <mergeCell ref="B135:C135"/>
    <mergeCell ref="D135:F135"/>
    <mergeCell ref="G135:I135"/>
    <mergeCell ref="J135:L135"/>
    <mergeCell ref="B132:C132"/>
    <mergeCell ref="D132:F132"/>
    <mergeCell ref="G132:I132"/>
    <mergeCell ref="J132:L132"/>
    <mergeCell ref="B133:C133"/>
    <mergeCell ref="D133:F133"/>
    <mergeCell ref="G133:I133"/>
    <mergeCell ref="J133:L133"/>
    <mergeCell ref="B130:C130"/>
    <mergeCell ref="D130:F130"/>
    <mergeCell ref="G130:I130"/>
    <mergeCell ref="J130:L130"/>
    <mergeCell ref="B131:C131"/>
    <mergeCell ref="D131:F131"/>
    <mergeCell ref="G131:I131"/>
    <mergeCell ref="J131:L131"/>
    <mergeCell ref="B128:C128"/>
    <mergeCell ref="D128:F128"/>
    <mergeCell ref="G128:I128"/>
    <mergeCell ref="J128:L128"/>
    <mergeCell ref="B129:C129"/>
    <mergeCell ref="D129:F129"/>
    <mergeCell ref="G129:I129"/>
    <mergeCell ref="J129:L129"/>
    <mergeCell ref="B126:C126"/>
    <mergeCell ref="D126:F126"/>
    <mergeCell ref="G126:I126"/>
    <mergeCell ref="J126:L126"/>
    <mergeCell ref="B127:C127"/>
    <mergeCell ref="D127:F127"/>
    <mergeCell ref="G127:I127"/>
    <mergeCell ref="J127:L127"/>
    <mergeCell ref="B124:C124"/>
    <mergeCell ref="D124:F124"/>
    <mergeCell ref="G124:I124"/>
    <mergeCell ref="J124:L124"/>
    <mergeCell ref="B125:C125"/>
    <mergeCell ref="D125:F125"/>
    <mergeCell ref="G125:I125"/>
    <mergeCell ref="J125:L125"/>
    <mergeCell ref="B122:C122"/>
    <mergeCell ref="D122:F122"/>
    <mergeCell ref="G122:I122"/>
    <mergeCell ref="J122:L122"/>
    <mergeCell ref="B123:C123"/>
    <mergeCell ref="D123:F123"/>
    <mergeCell ref="G123:I123"/>
    <mergeCell ref="J123:L123"/>
    <mergeCell ref="B120:C120"/>
    <mergeCell ref="D120:F120"/>
    <mergeCell ref="G120:I120"/>
    <mergeCell ref="J120:L120"/>
    <mergeCell ref="B121:C121"/>
    <mergeCell ref="D121:F121"/>
    <mergeCell ref="G121:I121"/>
    <mergeCell ref="J121:L121"/>
    <mergeCell ref="B118:C118"/>
    <mergeCell ref="D118:F118"/>
    <mergeCell ref="G118:I118"/>
    <mergeCell ref="J118:L118"/>
    <mergeCell ref="B119:C119"/>
    <mergeCell ref="D119:F119"/>
    <mergeCell ref="G119:I119"/>
    <mergeCell ref="J119:L119"/>
    <mergeCell ref="B116:C116"/>
    <mergeCell ref="D116:F116"/>
    <mergeCell ref="G116:I116"/>
    <mergeCell ref="J116:L116"/>
    <mergeCell ref="B117:C117"/>
    <mergeCell ref="D117:F117"/>
    <mergeCell ref="G117:I117"/>
    <mergeCell ref="J117:L117"/>
    <mergeCell ref="B114:C114"/>
    <mergeCell ref="D114:F114"/>
    <mergeCell ref="G114:I114"/>
    <mergeCell ref="J114:L114"/>
    <mergeCell ref="B115:C115"/>
    <mergeCell ref="D115:F115"/>
    <mergeCell ref="G115:I115"/>
    <mergeCell ref="J115:L115"/>
    <mergeCell ref="B112:C112"/>
    <mergeCell ref="D112:F112"/>
    <mergeCell ref="G112:I112"/>
    <mergeCell ref="J112:L112"/>
    <mergeCell ref="B113:C113"/>
    <mergeCell ref="D113:F113"/>
    <mergeCell ref="G113:I113"/>
    <mergeCell ref="J113:L113"/>
    <mergeCell ref="B110:C110"/>
    <mergeCell ref="D110:F110"/>
    <mergeCell ref="G110:I110"/>
    <mergeCell ref="J110:L110"/>
    <mergeCell ref="B111:C111"/>
    <mergeCell ref="D111:F111"/>
    <mergeCell ref="G111:I111"/>
    <mergeCell ref="J111:L111"/>
    <mergeCell ref="B108:C108"/>
    <mergeCell ref="D108:F108"/>
    <mergeCell ref="G108:I108"/>
    <mergeCell ref="J108:L108"/>
    <mergeCell ref="B109:C109"/>
    <mergeCell ref="D109:F109"/>
    <mergeCell ref="G109:I109"/>
    <mergeCell ref="J109:L109"/>
    <mergeCell ref="B106:C106"/>
    <mergeCell ref="D106:F106"/>
    <mergeCell ref="G106:I106"/>
    <mergeCell ref="J106:L106"/>
    <mergeCell ref="B107:C107"/>
    <mergeCell ref="D107:F107"/>
    <mergeCell ref="G107:I107"/>
    <mergeCell ref="J107:L107"/>
    <mergeCell ref="B104:C104"/>
    <mergeCell ref="D104:F104"/>
    <mergeCell ref="G104:I104"/>
    <mergeCell ref="J104:L104"/>
    <mergeCell ref="B105:C105"/>
    <mergeCell ref="D105:F105"/>
    <mergeCell ref="G105:I105"/>
    <mergeCell ref="J105:L105"/>
    <mergeCell ref="B102:C102"/>
    <mergeCell ref="D102:F102"/>
    <mergeCell ref="G102:I102"/>
    <mergeCell ref="J102:L102"/>
    <mergeCell ref="B103:C103"/>
    <mergeCell ref="D103:F103"/>
    <mergeCell ref="G103:I103"/>
    <mergeCell ref="J103:L103"/>
    <mergeCell ref="B100:C100"/>
    <mergeCell ref="D100:F100"/>
    <mergeCell ref="G100:I100"/>
    <mergeCell ref="J100:L100"/>
    <mergeCell ref="B101:C101"/>
    <mergeCell ref="D101:F101"/>
    <mergeCell ref="G101:I101"/>
    <mergeCell ref="J101:L101"/>
    <mergeCell ref="B98:C98"/>
    <mergeCell ref="D98:F98"/>
    <mergeCell ref="G98:I98"/>
    <mergeCell ref="J98:L98"/>
    <mergeCell ref="B99:C99"/>
    <mergeCell ref="D99:F99"/>
    <mergeCell ref="G99:I99"/>
    <mergeCell ref="J99:L99"/>
    <mergeCell ref="B96:C96"/>
    <mergeCell ref="D96:F96"/>
    <mergeCell ref="G96:I96"/>
    <mergeCell ref="J96:L96"/>
    <mergeCell ref="B97:C97"/>
    <mergeCell ref="D97:F97"/>
    <mergeCell ref="G97:I97"/>
    <mergeCell ref="J97:L97"/>
    <mergeCell ref="B94:C94"/>
    <mergeCell ref="D94:F94"/>
    <mergeCell ref="G94:I94"/>
    <mergeCell ref="J94:L94"/>
    <mergeCell ref="B95:C95"/>
    <mergeCell ref="D95:F95"/>
    <mergeCell ref="G95:I95"/>
    <mergeCell ref="J95:L95"/>
    <mergeCell ref="B92:C92"/>
    <mergeCell ref="D92:F92"/>
    <mergeCell ref="G92:I92"/>
    <mergeCell ref="J92:L92"/>
    <mergeCell ref="B93:C93"/>
    <mergeCell ref="D93:F93"/>
    <mergeCell ref="G93:I93"/>
    <mergeCell ref="J93:L93"/>
    <mergeCell ref="B90:C90"/>
    <mergeCell ref="D90:F90"/>
    <mergeCell ref="G90:I90"/>
    <mergeCell ref="J90:L90"/>
    <mergeCell ref="B91:C91"/>
    <mergeCell ref="D91:F91"/>
    <mergeCell ref="G91:I91"/>
    <mergeCell ref="J91:L91"/>
    <mergeCell ref="B88:C88"/>
    <mergeCell ref="D88:F88"/>
    <mergeCell ref="G88:I88"/>
    <mergeCell ref="J88:L88"/>
    <mergeCell ref="B89:C89"/>
    <mergeCell ref="D89:F89"/>
    <mergeCell ref="G89:I89"/>
    <mergeCell ref="J89:L89"/>
    <mergeCell ref="B86:C86"/>
    <mergeCell ref="D86:F86"/>
    <mergeCell ref="G86:I86"/>
    <mergeCell ref="J86:L86"/>
    <mergeCell ref="B87:C87"/>
    <mergeCell ref="D87:F87"/>
    <mergeCell ref="G87:I87"/>
    <mergeCell ref="J87:L87"/>
    <mergeCell ref="B84:C84"/>
    <mergeCell ref="D84:F84"/>
    <mergeCell ref="G84:I84"/>
    <mergeCell ref="J84:L84"/>
    <mergeCell ref="B85:C85"/>
    <mergeCell ref="D85:F85"/>
    <mergeCell ref="G85:I85"/>
    <mergeCell ref="J85:L85"/>
    <mergeCell ref="B82:C82"/>
    <mergeCell ref="D82:F82"/>
    <mergeCell ref="G82:I82"/>
    <mergeCell ref="J82:L82"/>
    <mergeCell ref="B83:C83"/>
    <mergeCell ref="D83:F83"/>
    <mergeCell ref="G83:I83"/>
    <mergeCell ref="J83:L83"/>
    <mergeCell ref="B80:C80"/>
    <mergeCell ref="D80:F80"/>
    <mergeCell ref="G80:I80"/>
    <mergeCell ref="J80:L80"/>
    <mergeCell ref="B81:C81"/>
    <mergeCell ref="D81:F81"/>
    <mergeCell ref="G81:I81"/>
    <mergeCell ref="J81:L81"/>
    <mergeCell ref="B78:C78"/>
    <mergeCell ref="D78:F78"/>
    <mergeCell ref="G78:I78"/>
    <mergeCell ref="J78:L78"/>
    <mergeCell ref="B79:C79"/>
    <mergeCell ref="D79:F79"/>
    <mergeCell ref="G79:I79"/>
    <mergeCell ref="J79:L79"/>
    <mergeCell ref="B76:C76"/>
    <mergeCell ref="D76:F76"/>
    <mergeCell ref="G76:I76"/>
    <mergeCell ref="J76:L76"/>
    <mergeCell ref="B77:C77"/>
    <mergeCell ref="D77:F77"/>
    <mergeCell ref="G77:I77"/>
    <mergeCell ref="J77:L77"/>
    <mergeCell ref="B74:C74"/>
    <mergeCell ref="D74:F74"/>
    <mergeCell ref="G74:I74"/>
    <mergeCell ref="J74:L74"/>
    <mergeCell ref="B75:C75"/>
    <mergeCell ref="D75:F75"/>
    <mergeCell ref="G75:I75"/>
    <mergeCell ref="J75:L75"/>
    <mergeCell ref="B72:C72"/>
    <mergeCell ref="D72:F72"/>
    <mergeCell ref="G72:I72"/>
    <mergeCell ref="J72:L72"/>
    <mergeCell ref="B73:C73"/>
    <mergeCell ref="D73:F73"/>
    <mergeCell ref="G73:I73"/>
    <mergeCell ref="J73:L73"/>
    <mergeCell ref="B70:C70"/>
    <mergeCell ref="D70:F70"/>
    <mergeCell ref="G70:I70"/>
    <mergeCell ref="J70:L70"/>
    <mergeCell ref="B71:C71"/>
    <mergeCell ref="D71:F71"/>
    <mergeCell ref="G71:I71"/>
    <mergeCell ref="J71:L71"/>
    <mergeCell ref="B68:C68"/>
    <mergeCell ref="D68:F68"/>
    <mergeCell ref="G68:I68"/>
    <mergeCell ref="J68:L68"/>
    <mergeCell ref="B69:C69"/>
    <mergeCell ref="D69:F69"/>
    <mergeCell ref="G69:I69"/>
    <mergeCell ref="J69:L69"/>
    <mergeCell ref="B66:C66"/>
    <mergeCell ref="D66:F66"/>
    <mergeCell ref="G66:I66"/>
    <mergeCell ref="J66:L66"/>
    <mergeCell ref="B67:C67"/>
    <mergeCell ref="D67:F67"/>
    <mergeCell ref="G67:I67"/>
    <mergeCell ref="J67:L67"/>
    <mergeCell ref="B64:C64"/>
    <mergeCell ref="D64:F64"/>
    <mergeCell ref="G64:I64"/>
    <mergeCell ref="J64:L64"/>
    <mergeCell ref="B65:C65"/>
    <mergeCell ref="D65:F65"/>
    <mergeCell ref="G65:I65"/>
    <mergeCell ref="J65:L65"/>
    <mergeCell ref="B62:C62"/>
    <mergeCell ref="D62:F62"/>
    <mergeCell ref="G62:I62"/>
    <mergeCell ref="J62:L62"/>
    <mergeCell ref="B63:C63"/>
    <mergeCell ref="D63:F63"/>
    <mergeCell ref="G63:I63"/>
    <mergeCell ref="J63:L63"/>
    <mergeCell ref="B60:C60"/>
    <mergeCell ref="D60:F60"/>
    <mergeCell ref="G60:I60"/>
    <mergeCell ref="J60:L60"/>
    <mergeCell ref="B61:C61"/>
    <mergeCell ref="D61:F61"/>
    <mergeCell ref="G61:I61"/>
    <mergeCell ref="J61:L61"/>
    <mergeCell ref="B58:C58"/>
    <mergeCell ref="D58:F58"/>
    <mergeCell ref="G58:I58"/>
    <mergeCell ref="J58:L58"/>
    <mergeCell ref="B59:C59"/>
    <mergeCell ref="D59:F59"/>
    <mergeCell ref="G59:I59"/>
    <mergeCell ref="J59:L59"/>
    <mergeCell ref="B56:C56"/>
    <mergeCell ref="D56:F56"/>
    <mergeCell ref="G56:I56"/>
    <mergeCell ref="J56:L56"/>
    <mergeCell ref="B57:C57"/>
    <mergeCell ref="D57:F57"/>
    <mergeCell ref="G57:I57"/>
    <mergeCell ref="J57:L57"/>
    <mergeCell ref="B54:C54"/>
    <mergeCell ref="D54:F54"/>
    <mergeCell ref="G54:I54"/>
    <mergeCell ref="J54:L54"/>
    <mergeCell ref="B55:C55"/>
    <mergeCell ref="D55:F55"/>
    <mergeCell ref="G55:I55"/>
    <mergeCell ref="J55:L55"/>
    <mergeCell ref="B52:C52"/>
    <mergeCell ref="D52:F52"/>
    <mergeCell ref="G52:I52"/>
    <mergeCell ref="J52:L52"/>
    <mergeCell ref="B53:C53"/>
    <mergeCell ref="D53:F53"/>
    <mergeCell ref="G53:I53"/>
    <mergeCell ref="J53:L53"/>
    <mergeCell ref="B50:C50"/>
    <mergeCell ref="D50:F50"/>
    <mergeCell ref="G50:I50"/>
    <mergeCell ref="J50:L50"/>
    <mergeCell ref="B51:C51"/>
    <mergeCell ref="D51:F51"/>
    <mergeCell ref="G51:I51"/>
    <mergeCell ref="J51:L51"/>
    <mergeCell ref="B48:C48"/>
    <mergeCell ref="D48:F48"/>
    <mergeCell ref="G48:I48"/>
    <mergeCell ref="J48:L48"/>
    <mergeCell ref="B49:C49"/>
    <mergeCell ref="D49:F49"/>
    <mergeCell ref="G49:I49"/>
    <mergeCell ref="J49:L49"/>
    <mergeCell ref="B46:C46"/>
    <mergeCell ref="D46:F46"/>
    <mergeCell ref="G46:I46"/>
    <mergeCell ref="J46:L46"/>
    <mergeCell ref="B47:C47"/>
    <mergeCell ref="D47:F47"/>
    <mergeCell ref="G47:I47"/>
    <mergeCell ref="J47:L47"/>
    <mergeCell ref="B44:C44"/>
    <mergeCell ref="D44:F44"/>
    <mergeCell ref="G44:I44"/>
    <mergeCell ref="J44:L44"/>
    <mergeCell ref="B45:C45"/>
    <mergeCell ref="D45:F45"/>
    <mergeCell ref="G45:I45"/>
    <mergeCell ref="J45:L45"/>
    <mergeCell ref="B42:C42"/>
    <mergeCell ref="D42:F42"/>
    <mergeCell ref="G42:I42"/>
    <mergeCell ref="J42:L42"/>
    <mergeCell ref="B43:C43"/>
    <mergeCell ref="D43:F43"/>
    <mergeCell ref="G43:I43"/>
    <mergeCell ref="J43:L43"/>
    <mergeCell ref="B40:C40"/>
    <mergeCell ref="D40:F40"/>
    <mergeCell ref="G40:I40"/>
    <mergeCell ref="J40:L40"/>
    <mergeCell ref="B41:C41"/>
    <mergeCell ref="D41:F41"/>
    <mergeCell ref="G41:I41"/>
    <mergeCell ref="J41:L41"/>
    <mergeCell ref="B38:C38"/>
    <mergeCell ref="D38:F38"/>
    <mergeCell ref="G38:I38"/>
    <mergeCell ref="J38:L38"/>
    <mergeCell ref="B39:C39"/>
    <mergeCell ref="D39:F39"/>
    <mergeCell ref="G39:I39"/>
    <mergeCell ref="J39:L39"/>
    <mergeCell ref="B36:C36"/>
    <mergeCell ref="D36:F36"/>
    <mergeCell ref="G36:I36"/>
    <mergeCell ref="J36:L36"/>
    <mergeCell ref="B37:C37"/>
    <mergeCell ref="D37:F37"/>
    <mergeCell ref="G37:I37"/>
    <mergeCell ref="J37:L37"/>
    <mergeCell ref="B34:C34"/>
    <mergeCell ref="D34:F34"/>
    <mergeCell ref="G34:I34"/>
    <mergeCell ref="J34:L34"/>
    <mergeCell ref="B35:C35"/>
    <mergeCell ref="D35:F35"/>
    <mergeCell ref="G35:I35"/>
    <mergeCell ref="J35:L35"/>
    <mergeCell ref="B32:C32"/>
    <mergeCell ref="D32:F32"/>
    <mergeCell ref="G32:I32"/>
    <mergeCell ref="J32:L32"/>
    <mergeCell ref="B33:C33"/>
    <mergeCell ref="D33:F33"/>
    <mergeCell ref="G33:I33"/>
    <mergeCell ref="J33:L33"/>
    <mergeCell ref="B30:C30"/>
    <mergeCell ref="D30:F30"/>
    <mergeCell ref="G30:I30"/>
    <mergeCell ref="J30:L30"/>
    <mergeCell ref="B31:C31"/>
    <mergeCell ref="D31:F31"/>
    <mergeCell ref="G31:I31"/>
    <mergeCell ref="J31:L31"/>
    <mergeCell ref="B28:C28"/>
    <mergeCell ref="D28:F28"/>
    <mergeCell ref="G28:I28"/>
    <mergeCell ref="J28:L28"/>
    <mergeCell ref="B29:C29"/>
    <mergeCell ref="D29:F29"/>
    <mergeCell ref="G29:I29"/>
    <mergeCell ref="J29:L29"/>
    <mergeCell ref="B26:C26"/>
    <mergeCell ref="D26:F26"/>
    <mergeCell ref="G26:I26"/>
    <mergeCell ref="J26:L26"/>
    <mergeCell ref="B27:C27"/>
    <mergeCell ref="D27:F27"/>
    <mergeCell ref="G27:I27"/>
    <mergeCell ref="J27:L27"/>
    <mergeCell ref="B24:C24"/>
    <mergeCell ref="D24:F24"/>
    <mergeCell ref="G24:I24"/>
    <mergeCell ref="J24:L24"/>
    <mergeCell ref="B25:C25"/>
    <mergeCell ref="D25:F25"/>
    <mergeCell ref="G25:I25"/>
    <mergeCell ref="J25:L25"/>
    <mergeCell ref="B22:C22"/>
    <mergeCell ref="D22:F22"/>
    <mergeCell ref="G22:I22"/>
    <mergeCell ref="J22:L22"/>
    <mergeCell ref="B23:C23"/>
    <mergeCell ref="D23:F23"/>
    <mergeCell ref="G23:I23"/>
    <mergeCell ref="J23:L23"/>
    <mergeCell ref="B20:C20"/>
    <mergeCell ref="D20:F20"/>
    <mergeCell ref="G20:I20"/>
    <mergeCell ref="J20:L20"/>
    <mergeCell ref="B21:C21"/>
    <mergeCell ref="D21:F21"/>
    <mergeCell ref="G21:I21"/>
    <mergeCell ref="J21:L21"/>
    <mergeCell ref="B18:C18"/>
    <mergeCell ref="D18:F18"/>
    <mergeCell ref="G18:I18"/>
    <mergeCell ref="J18:L18"/>
    <mergeCell ref="B19:C19"/>
    <mergeCell ref="D19:F19"/>
    <mergeCell ref="G19:I19"/>
    <mergeCell ref="J19:L19"/>
    <mergeCell ref="B16:C16"/>
    <mergeCell ref="D16:F16"/>
    <mergeCell ref="G16:I16"/>
    <mergeCell ref="J16:L16"/>
    <mergeCell ref="B17:C17"/>
    <mergeCell ref="D17:F17"/>
    <mergeCell ref="G17:I17"/>
    <mergeCell ref="J17:L17"/>
    <mergeCell ref="B14:C14"/>
    <mergeCell ref="D14:F14"/>
    <mergeCell ref="G14:I14"/>
    <mergeCell ref="J14:L14"/>
    <mergeCell ref="B15:C15"/>
    <mergeCell ref="D15:F15"/>
    <mergeCell ref="G15:I15"/>
    <mergeCell ref="J15:L15"/>
    <mergeCell ref="B12:C12"/>
    <mergeCell ref="D12:F12"/>
    <mergeCell ref="G12:I12"/>
    <mergeCell ref="J12:L12"/>
    <mergeCell ref="B13:C13"/>
    <mergeCell ref="D13:F13"/>
    <mergeCell ref="G13:I13"/>
    <mergeCell ref="J13:L13"/>
    <mergeCell ref="B10:C10"/>
    <mergeCell ref="D10:F10"/>
    <mergeCell ref="G10:I10"/>
    <mergeCell ref="J10:L10"/>
    <mergeCell ref="B11:C11"/>
    <mergeCell ref="D11:F11"/>
    <mergeCell ref="G11:I11"/>
    <mergeCell ref="J11:L11"/>
    <mergeCell ref="B8:C8"/>
    <mergeCell ref="D8:F8"/>
    <mergeCell ref="G8:I8"/>
    <mergeCell ref="J8:L8"/>
    <mergeCell ref="B9:C9"/>
    <mergeCell ref="D9:F9"/>
    <mergeCell ref="G9:I9"/>
    <mergeCell ref="J9:L9"/>
    <mergeCell ref="B6:C6"/>
    <mergeCell ref="D6:F6"/>
    <mergeCell ref="G6:I6"/>
    <mergeCell ref="J6:L6"/>
    <mergeCell ref="B7:C7"/>
    <mergeCell ref="D7:F7"/>
    <mergeCell ref="G7:I7"/>
    <mergeCell ref="J7:L7"/>
    <mergeCell ref="G2:I2"/>
    <mergeCell ref="J2:L2"/>
    <mergeCell ref="B5:C5"/>
    <mergeCell ref="D5:F5"/>
    <mergeCell ref="G5:I5"/>
    <mergeCell ref="J5:L5"/>
    <mergeCell ref="G3:I3"/>
    <mergeCell ref="G4:I4"/>
    <mergeCell ref="J3:L3"/>
    <mergeCell ref="J4:L4"/>
  </mergeCells>
  <conditionalFormatting sqref="B6:L255">
    <cfRule type="expression" dxfId="38" priority="24">
      <formula>$G6:$I255="Savings"</formula>
    </cfRule>
    <cfRule type="expression" dxfId="37" priority="25">
      <formula>$G6:$I255="pookie"</formula>
    </cfRule>
  </conditionalFormatting>
  <conditionalFormatting sqref="O3:O4">
    <cfRule type="cellIs" dxfId="36" priority="22" operator="equal">
      <formula>$N$3</formula>
    </cfRule>
  </conditionalFormatting>
  <conditionalFormatting sqref="Q4">
    <cfRule type="cellIs" dxfId="35" priority="21" operator="equal">
      <formula>P$3</formula>
    </cfRule>
  </conditionalFormatting>
  <conditionalFormatting sqref="S3:S4">
    <cfRule type="cellIs" dxfId="34" priority="19" operator="equal">
      <formula>R$3</formula>
    </cfRule>
  </conditionalFormatting>
  <conditionalFormatting sqref="U3:U4">
    <cfRule type="cellIs" dxfId="33" priority="17" operator="equal">
      <formula>T$3</formula>
    </cfRule>
  </conditionalFormatting>
  <conditionalFormatting sqref="W3:W4">
    <cfRule type="cellIs" dxfId="32" priority="15" operator="equal">
      <formula>V$3</formula>
    </cfRule>
  </conditionalFormatting>
  <conditionalFormatting sqref="Y3:Y4">
    <cfRule type="cellIs" dxfId="31" priority="13" operator="equal">
      <formula>X$3</formula>
    </cfRule>
  </conditionalFormatting>
  <conditionalFormatting sqref="AA3:AA4">
    <cfRule type="cellIs" dxfId="30" priority="11" operator="equal">
      <formula>Z$3</formula>
    </cfRule>
  </conditionalFormatting>
  <conditionalFormatting sqref="AC3:AC4">
    <cfRule type="cellIs" dxfId="29" priority="9" operator="equal">
      <formula>AB$3</formula>
    </cfRule>
  </conditionalFormatting>
  <conditionalFormatting sqref="AE3:AE4">
    <cfRule type="cellIs" dxfId="28" priority="7" operator="equal">
      <formula>AD$3</formula>
    </cfRule>
  </conditionalFormatting>
  <conditionalFormatting sqref="AG3:AG4">
    <cfRule type="cellIs" dxfId="27" priority="5" operator="equal">
      <formula>AF$3</formula>
    </cfRule>
  </conditionalFormatting>
  <conditionalFormatting sqref="AI3:AI4">
    <cfRule type="cellIs" dxfId="26" priority="3" operator="equal">
      <formula>AH$3</formula>
    </cfRule>
  </conditionalFormatting>
  <conditionalFormatting sqref="AK3:AK4">
    <cfRule type="cellIs" dxfId="25" priority="1" operator="equal">
      <formula>AJ$3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BA21-3F59-4A45-9804-156431ABD0F2}">
  <sheetPr>
    <tabColor theme="7" tint="0.79998168889431442"/>
  </sheetPr>
  <dimension ref="A1:M248"/>
  <sheetViews>
    <sheetView zoomScale="180" zoomScaleNormal="180" workbookViewId="0">
      <selection activeCell="F2" sqref="F2:H2"/>
    </sheetView>
  </sheetViews>
  <sheetFormatPr defaultRowHeight="13" x14ac:dyDescent="0.4"/>
  <cols>
    <col min="1" max="1" width="8.7265625" style="21"/>
    <col min="2" max="2" width="10.08984375" style="21" bestFit="1" customWidth="1"/>
    <col min="3" max="4" width="8.7265625" style="21"/>
    <col min="5" max="5" width="1.81640625" style="21" customWidth="1"/>
    <col min="6" max="6" width="10.08984375" style="21" bestFit="1" customWidth="1"/>
    <col min="7" max="7" width="9.6328125" style="21" bestFit="1" customWidth="1"/>
    <col min="8" max="8" width="8.7265625" style="21"/>
    <col min="9" max="9" width="1.81640625" style="21" customWidth="1"/>
    <col min="10" max="10" width="14" style="21" bestFit="1" customWidth="1"/>
    <col min="11" max="11" width="9.81640625" style="21" bestFit="1" customWidth="1"/>
    <col min="12" max="16384" width="8.7265625" style="21"/>
  </cols>
  <sheetData>
    <row r="1" spans="1:13" ht="10" customHeight="1" thickBo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4">
      <c r="A2" s="1"/>
      <c r="B2" s="158" t="s">
        <v>9</v>
      </c>
      <c r="C2" s="159"/>
      <c r="D2" s="160"/>
      <c r="E2" s="1"/>
      <c r="F2" s="158" t="s">
        <v>10</v>
      </c>
      <c r="G2" s="159"/>
      <c r="H2" s="160"/>
      <c r="I2" s="1"/>
      <c r="J2" s="158" t="s">
        <v>11</v>
      </c>
      <c r="K2" s="159"/>
      <c r="L2" s="160"/>
      <c r="M2" s="1"/>
    </row>
    <row r="3" spans="1:13" x14ac:dyDescent="0.4">
      <c r="A3" s="1"/>
      <c r="B3" s="24" t="s">
        <v>12</v>
      </c>
      <c r="C3" s="25"/>
      <c r="D3" s="76" cm="1">
        <f t="array" ref="D3">_xlfn.LET(_xlpm.Bal, SUMPRODUCT(Allowance!$D11:$F260*((Allowance!$G11:$I260="Gala")*(Allowance!$J11:$L260="Slot1"))) - SUMPRODUCT(Allowance!$D11:$F260*((Allowance!$G11:$I260="Gala")*(Allowance!$J11:$L260="Load1"))) + Allowance!S22, _xlpm.Bal - (PRODUCT(COUNTIFS(Allowance!$G11:$I260, "Gala", Allowance!$J11:$L260, "Clear1"), _xlpm.Bal)))</f>
        <v>0</v>
      </c>
      <c r="E3" s="1"/>
      <c r="F3" s="24"/>
      <c r="G3" s="25"/>
      <c r="H3" s="76" cm="1">
        <f t="array" ref="H3">_xlfn.LET(_xlpm.Bal, SUMPRODUCT(Allowance!$D11:$F260*((Allowance!$G11:$I260="Gift")*(Allowance!$J11:$L260="Slot1"))) - SUMPRODUCT(Allowance!$D11:$F260*((Allowance!$G11:$I260="Gift")*(Allowance!$J11:$L260="Load1"))) + Allowance!S25, _xlpm.Bal - (PRODUCT(COUNTIFS(Allowance!$G11:$I260, "Gift", Allowance!$J11:$L260, "Clear1"), _xlpm.Bal)))</f>
        <v>0</v>
      </c>
      <c r="I3" s="1"/>
      <c r="J3" s="24"/>
      <c r="K3" s="25"/>
      <c r="L3" s="76" cm="1">
        <f t="array" ref="L3">_xlfn.LET(_xlpm.Bal, SUMPRODUCT(Allowance!$D11:$F260*((Allowance!$G11:$I260="Want")*(Allowance!$J11:$L260="Slot1"))) - SUMPRODUCT(Allowance!$D11:$F260*((Allowance!$G11:$I260="Want")*(Allowance!$J11:$L260="Load1"))) + Allowance!S28, _xlpm.Bal - (PRODUCT(COUNTIFS(Allowance!$G11:$I260, "Want", Allowance!$J11:$L260, "Clear1"), _xlpm.Bal)))</f>
        <v>0</v>
      </c>
      <c r="M3" s="1"/>
    </row>
    <row r="4" spans="1:13" x14ac:dyDescent="0.4">
      <c r="A4" s="1"/>
      <c r="B4" s="27" t="s">
        <v>13</v>
      </c>
      <c r="C4" s="25"/>
      <c r="D4" s="76" cm="1">
        <f t="array" ref="D4">_xlfn.LET(_xlpm.Bal, SUMPRODUCT(Allowance!$D11:$F260*((Allowance!$G11:$I260="Gala")*(Allowance!$J11:$L260="Slot2"))) - SUMPRODUCT(Allowance!$D11:$F260*((Allowance!$G11:$I260="Gala")*(Allowance!$J11:$L260="Load2"))) + Allowance!S23, _xlpm.Bal - (PRODUCT(COUNTIFS(Allowance!$G11:$I260, "Gala", Allowance!$J11:$L260, "Clear2"), _xlpm.Bal)))</f>
        <v>0</v>
      </c>
      <c r="E4" s="28"/>
      <c r="F4" s="27"/>
      <c r="G4" s="25"/>
      <c r="H4" s="76" cm="1">
        <f t="array" ref="H4">_xlfn.LET(_xlpm.Bal, SUMPRODUCT(Allowance!$D11:$F260*((Allowance!$G11:$I260="Gift")*(Allowance!$J11:$L260="Slot2"))) - SUMPRODUCT(Allowance!$D11:$F260*((Allowance!$G11:$I260="Gift")*(Allowance!$J11:$L260="Load2"))) + Allowance!S26, _xlpm.Bal - (PRODUCT(COUNTIFS(Allowance!$G11:$I260, "Gift", Allowance!$J11:$L260, "Clear2"), _xlpm.Bal)))</f>
        <v>0</v>
      </c>
      <c r="I4" s="1"/>
      <c r="J4" s="27"/>
      <c r="K4" s="25"/>
      <c r="L4" s="76" cm="1">
        <f t="array" ref="L4">_xlfn.LET(_xlpm.Bal, SUMPRODUCT(Allowance!$D11:$F260*((Allowance!$G11:$I260="Want")*(Allowance!$J11:$L260="Slot2"))) - SUMPRODUCT(Allowance!$D11:$F260*((Allowance!$G11:$I260="Want")*(Allowance!$J11:$L260="Load2"))) + Allowance!S29, _xlpm.Bal - (PRODUCT(COUNTIFS(Allowance!$G11:$I260, "Want", Allowance!$J11:$L260, "Clear2"), _xlpm.Bal)))</f>
        <v>0</v>
      </c>
      <c r="M4" s="1"/>
    </row>
    <row r="5" spans="1:13" ht="13" customHeight="1" thickBot="1" x14ac:dyDescent="0.45">
      <c r="A5" s="1"/>
      <c r="B5" s="29" t="s">
        <v>14</v>
      </c>
      <c r="C5" s="30"/>
      <c r="D5" s="76" cm="1">
        <f t="array" ref="D5">_xlfn.LET(_xlpm.Bal, SUMPRODUCT(Allowance!$D11:$F260*((Allowance!$G11:$I260="Gala")*(Allowance!$J11:$L260="Slot3"))) - SUMPRODUCT(Allowance!$D11:$F260*((Allowance!$G11:$I260="Gala")*(Allowance!$J11:$L260="Load3"))) + Allowance!S24, _xlpm.Bal - (PRODUCT(COUNTIFS(Allowance!$G11:$I260, "Gala", Allowance!$J11:$L260, "Clear3"), _xlpm.Bal)))</f>
        <v>0</v>
      </c>
      <c r="E5" s="28"/>
      <c r="F5" s="29"/>
      <c r="G5" s="31"/>
      <c r="H5" s="76" cm="1">
        <f t="array" ref="H5">_xlfn.LET(_xlpm.Bal, SUMPRODUCT(Allowance!$D11:$F260*((Allowance!$G11:$I260="Gift")*(Allowance!$J11:$L260="Slot3"))) - SUMPRODUCT(Allowance!$D11:$F260*((Allowance!$G11:$I260="Gift")*(Allowance!$J11:$L260="Load3"))) + Allowance!S27, _xlpm.Bal - (PRODUCT(COUNTIFS(Allowance!$G11:$I260, "Gift", Allowance!$J11:$L260, "Clear3"), _xlpm.Bal)))</f>
        <v>0</v>
      </c>
      <c r="I5" s="1"/>
      <c r="J5" s="29"/>
      <c r="K5" s="30"/>
      <c r="L5" s="76" cm="1">
        <f t="array" ref="L5">_xlfn.LET(_xlpm.Bal, SUMPRODUCT(Allowance!$D11:$F260*((Allowance!$G11:$I260="Want")*(Allowance!$J11:$L260="Slot3"))) - SUMPRODUCT(Allowance!$D11:$F260*((Allowance!$G11:$I260="Want")*(Allowance!$J11:$L260="Load3"))) + Allowance!S30, _xlpm.Bal - (PRODUCT(COUNTIFS(Allowance!$G11:$I260, "Want", Allowance!$J11:$L260, "Clear3"), _xlpm.Bal)))</f>
        <v>0</v>
      </c>
      <c r="M5" s="1"/>
    </row>
    <row r="6" spans="1:13" ht="10" customHeight="1" x14ac:dyDescent="0.4">
      <c r="A6" s="1"/>
      <c r="B6" s="1"/>
      <c r="C6" s="32"/>
      <c r="D6" s="32"/>
      <c r="E6" s="1"/>
      <c r="F6" s="1"/>
      <c r="G6" s="1"/>
      <c r="H6" s="32"/>
      <c r="I6" s="1"/>
      <c r="J6" s="1"/>
      <c r="K6" s="32"/>
      <c r="L6" s="32"/>
      <c r="M6" s="1"/>
    </row>
    <row r="248" spans="1:13" s="1" customFormat="1" x14ac:dyDescent="0.4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</sheetData>
  <mergeCells count="3">
    <mergeCell ref="B2:D2"/>
    <mergeCell ref="F2:H2"/>
    <mergeCell ref="J2:L2"/>
  </mergeCells>
  <conditionalFormatting sqref="D3">
    <cfRule type="cellIs" dxfId="24" priority="17" operator="greaterThanOrEqual">
      <formula>$C3</formula>
    </cfRule>
  </conditionalFormatting>
  <conditionalFormatting sqref="D4">
    <cfRule type="cellIs" dxfId="23" priority="16" operator="greaterThanOrEqual">
      <formula>$C$4</formula>
    </cfRule>
  </conditionalFormatting>
  <conditionalFormatting sqref="D5">
    <cfRule type="cellIs" dxfId="22" priority="13" operator="greaterThanOrEqual">
      <formula>$C$5</formula>
    </cfRule>
  </conditionalFormatting>
  <conditionalFormatting sqref="H3">
    <cfRule type="cellIs" dxfId="21" priority="11" operator="greaterThanOrEqual">
      <formula>$G$3</formula>
    </cfRule>
  </conditionalFormatting>
  <conditionalFormatting sqref="H4">
    <cfRule type="cellIs" dxfId="20" priority="9" operator="greaterThanOrEqual">
      <formula>$G$4</formula>
    </cfRule>
  </conditionalFormatting>
  <conditionalFormatting sqref="H5">
    <cfRule type="cellIs" dxfId="19" priority="7" operator="greaterThanOrEqual">
      <formula>$G$5</formula>
    </cfRule>
  </conditionalFormatting>
  <conditionalFormatting sqref="L3">
    <cfRule type="cellIs" dxfId="18" priority="5" operator="greaterThanOrEqual">
      <formula>$K$3</formula>
    </cfRule>
  </conditionalFormatting>
  <conditionalFormatting sqref="L4">
    <cfRule type="cellIs" dxfId="17" priority="3" operator="greaterThanOrEqual">
      <formula>$K$4</formula>
    </cfRule>
  </conditionalFormatting>
  <conditionalFormatting sqref="L5">
    <cfRule type="cellIs" dxfId="16" priority="1" operator="greaterThanOrEqual">
      <formula>$K$5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726C-6C40-479C-9DBE-2EB3CAC7A32B}">
  <dimension ref="B1:L253"/>
  <sheetViews>
    <sheetView zoomScale="175" zoomScaleNormal="175" workbookViewId="0">
      <pane xSplit="12" ySplit="3" topLeftCell="M4" activePane="bottomRight" state="frozen"/>
      <selection pane="topRight" activeCell="M1" sqref="M1"/>
      <selection pane="bottomLeft" activeCell="A11" sqref="A11"/>
      <selection pane="bottomRight" activeCell="G18" sqref="G18:I18"/>
    </sheetView>
  </sheetViews>
  <sheetFormatPr defaultRowHeight="13" x14ac:dyDescent="0.4"/>
  <cols>
    <col min="1" max="1" width="8.7265625" style="1"/>
    <col min="2" max="3" width="8.7265625" style="1" customWidth="1"/>
    <col min="4" max="4" width="8.7265625" style="1"/>
    <col min="5" max="5" width="1.81640625" style="1" customWidth="1"/>
    <col min="6" max="8" width="8.7265625" style="1"/>
    <col min="9" max="9" width="1.81640625" style="1" customWidth="1"/>
    <col min="10" max="12" width="8.7265625" style="1"/>
    <col min="13" max="13" width="1.81640625" style="1" customWidth="1"/>
    <col min="14" max="16384" width="8.7265625" style="1"/>
  </cols>
  <sheetData>
    <row r="1" spans="2:12" ht="10" customHeight="1" thickBot="1" x14ac:dyDescent="0.45"/>
    <row r="2" spans="2:12" ht="15.5" customHeight="1" thickBot="1" x14ac:dyDescent="0.45">
      <c r="D2" s="122" cm="1">
        <f t="array" ref="D2">SUMPRODUCT(Stipend!$D4:$F253*((Stipend!$G4:$I253="Load")*((Stipend!$G4:$I253&lt;&gt;"")+(Stipend!$G4:$I253=""))))</f>
        <v>0</v>
      </c>
      <c r="E2" s="123"/>
      <c r="F2" s="124"/>
      <c r="G2" s="125" cm="1">
        <f t="array" ref="G2">SUMPRODUCT(Stipend!$D4:$F253*(((Stipend!$G4:$I253="Hold")*(Stipend!$J4:$L253&lt;&gt;"Return"))+((Stipend!$G4:$I253="Out")+(Stipend!$G4:$I253&lt;&gt;"Load"))))</f>
        <v>0</v>
      </c>
      <c r="H2" s="126"/>
      <c r="I2" s="127"/>
      <c r="J2" s="128">
        <f>D2-G2</f>
        <v>0</v>
      </c>
      <c r="K2" s="129"/>
      <c r="L2" s="130"/>
    </row>
    <row r="3" spans="2:12" x14ac:dyDescent="0.4">
      <c r="B3" s="116" t="s">
        <v>2</v>
      </c>
      <c r="C3" s="147"/>
      <c r="D3" s="147" t="s">
        <v>3</v>
      </c>
      <c r="E3" s="147"/>
      <c r="F3" s="147"/>
      <c r="G3" s="147" t="s">
        <v>4</v>
      </c>
      <c r="H3" s="147"/>
      <c r="I3" s="147"/>
      <c r="J3" s="147" t="s">
        <v>5</v>
      </c>
      <c r="K3" s="147"/>
      <c r="L3" s="117"/>
    </row>
    <row r="4" spans="2:12" x14ac:dyDescent="0.4">
      <c r="B4" s="168"/>
      <c r="C4" s="169"/>
      <c r="D4" s="170"/>
      <c r="E4" s="170"/>
      <c r="F4" s="170"/>
      <c r="G4" s="173"/>
      <c r="H4" s="173"/>
      <c r="I4" s="173"/>
      <c r="J4" s="118"/>
      <c r="K4" s="118"/>
      <c r="L4" s="119"/>
    </row>
    <row r="5" spans="2:12" x14ac:dyDescent="0.4">
      <c r="B5" s="168"/>
      <c r="C5" s="169"/>
      <c r="D5" s="170"/>
      <c r="E5" s="170"/>
      <c r="F5" s="170"/>
      <c r="G5" s="173"/>
      <c r="H5" s="173"/>
      <c r="I5" s="173"/>
      <c r="J5" s="118"/>
      <c r="K5" s="118"/>
      <c r="L5" s="119"/>
    </row>
    <row r="6" spans="2:12" x14ac:dyDescent="0.4">
      <c r="B6" s="168"/>
      <c r="C6" s="169"/>
      <c r="D6" s="170"/>
      <c r="E6" s="170"/>
      <c r="F6" s="170"/>
      <c r="G6" s="173"/>
      <c r="H6" s="173"/>
      <c r="I6" s="173"/>
      <c r="J6" s="118"/>
      <c r="K6" s="118"/>
      <c r="L6" s="119"/>
    </row>
    <row r="7" spans="2:12" x14ac:dyDescent="0.4">
      <c r="B7" s="139"/>
      <c r="C7" s="140"/>
      <c r="D7" s="172"/>
      <c r="E7" s="172"/>
      <c r="F7" s="172"/>
      <c r="G7" s="132"/>
      <c r="H7" s="132"/>
      <c r="I7" s="132"/>
      <c r="J7" s="185"/>
      <c r="K7" s="185"/>
      <c r="L7" s="186"/>
    </row>
    <row r="8" spans="2:12" x14ac:dyDescent="0.4">
      <c r="B8" s="139"/>
      <c r="C8" s="140"/>
      <c r="D8" s="172"/>
      <c r="E8" s="172"/>
      <c r="F8" s="172"/>
      <c r="G8" s="132"/>
      <c r="H8" s="132"/>
      <c r="I8" s="132"/>
      <c r="J8" s="185"/>
      <c r="K8" s="185"/>
      <c r="L8" s="186"/>
    </row>
    <row r="9" spans="2:12" x14ac:dyDescent="0.4">
      <c r="B9" s="139"/>
      <c r="C9" s="140"/>
      <c r="D9" s="172"/>
      <c r="E9" s="172"/>
      <c r="F9" s="172"/>
      <c r="G9" s="132"/>
      <c r="H9" s="132"/>
      <c r="I9" s="132"/>
      <c r="J9" s="185"/>
      <c r="K9" s="185"/>
      <c r="L9" s="186"/>
    </row>
    <row r="10" spans="2:12" x14ac:dyDescent="0.4">
      <c r="B10" s="139"/>
      <c r="C10" s="140"/>
      <c r="D10" s="172"/>
      <c r="E10" s="172"/>
      <c r="F10" s="172"/>
      <c r="G10" s="132"/>
      <c r="H10" s="132"/>
      <c r="I10" s="132"/>
      <c r="J10" s="185"/>
      <c r="K10" s="185"/>
      <c r="L10" s="186"/>
    </row>
    <row r="11" spans="2:12" x14ac:dyDescent="0.4">
      <c r="B11" s="139"/>
      <c r="C11" s="140"/>
      <c r="D11" s="172"/>
      <c r="E11" s="172"/>
      <c r="F11" s="172"/>
      <c r="G11" s="132"/>
      <c r="H11" s="132"/>
      <c r="I11" s="132"/>
      <c r="J11" s="185"/>
      <c r="K11" s="185"/>
      <c r="L11" s="186"/>
    </row>
    <row r="12" spans="2:12" x14ac:dyDescent="0.4">
      <c r="B12" s="139"/>
      <c r="C12" s="140"/>
      <c r="D12" s="172"/>
      <c r="E12" s="172"/>
      <c r="F12" s="172"/>
      <c r="G12" s="132"/>
      <c r="H12" s="132"/>
      <c r="I12" s="132"/>
      <c r="J12" s="185"/>
      <c r="K12" s="185"/>
      <c r="L12" s="186"/>
    </row>
    <row r="13" spans="2:12" x14ac:dyDescent="0.4">
      <c r="B13" s="139"/>
      <c r="C13" s="140"/>
      <c r="D13" s="172"/>
      <c r="E13" s="172"/>
      <c r="F13" s="172"/>
      <c r="G13" s="132"/>
      <c r="H13" s="132"/>
      <c r="I13" s="132"/>
      <c r="J13" s="185"/>
      <c r="K13" s="185"/>
      <c r="L13" s="186"/>
    </row>
    <row r="14" spans="2:12" x14ac:dyDescent="0.4">
      <c r="B14" s="139"/>
      <c r="C14" s="140"/>
      <c r="D14" s="172"/>
      <c r="E14" s="172"/>
      <c r="F14" s="172"/>
      <c r="G14" s="132"/>
      <c r="H14" s="132"/>
      <c r="I14" s="132"/>
      <c r="J14" s="185"/>
      <c r="K14" s="185"/>
      <c r="L14" s="186"/>
    </row>
    <row r="15" spans="2:12" x14ac:dyDescent="0.4">
      <c r="B15" s="139"/>
      <c r="C15" s="140"/>
      <c r="D15" s="172"/>
      <c r="E15" s="172"/>
      <c r="F15" s="172"/>
      <c r="G15" s="132"/>
      <c r="H15" s="132"/>
      <c r="I15" s="132"/>
      <c r="J15" s="185"/>
      <c r="K15" s="185"/>
      <c r="L15" s="186"/>
    </row>
    <row r="16" spans="2:12" x14ac:dyDescent="0.4">
      <c r="B16" s="139"/>
      <c r="C16" s="140"/>
      <c r="D16" s="172"/>
      <c r="E16" s="172"/>
      <c r="F16" s="172"/>
      <c r="G16" s="132"/>
      <c r="H16" s="132"/>
      <c r="I16" s="132"/>
      <c r="J16" s="185"/>
      <c r="K16" s="185"/>
      <c r="L16" s="186"/>
    </row>
    <row r="17" spans="2:12" x14ac:dyDescent="0.4">
      <c r="B17" s="139"/>
      <c r="C17" s="140"/>
      <c r="D17" s="172"/>
      <c r="E17" s="172"/>
      <c r="F17" s="172"/>
      <c r="G17" s="132"/>
      <c r="H17" s="132"/>
      <c r="I17" s="132"/>
      <c r="J17" s="185"/>
      <c r="K17" s="185"/>
      <c r="L17" s="186"/>
    </row>
    <row r="18" spans="2:12" x14ac:dyDescent="0.4">
      <c r="B18" s="139"/>
      <c r="C18" s="140"/>
      <c r="D18" s="172"/>
      <c r="E18" s="172"/>
      <c r="F18" s="172"/>
      <c r="G18" s="132"/>
      <c r="H18" s="132"/>
      <c r="I18" s="132"/>
      <c r="J18" s="185"/>
      <c r="K18" s="185"/>
      <c r="L18" s="186"/>
    </row>
    <row r="19" spans="2:12" x14ac:dyDescent="0.4">
      <c r="B19" s="139"/>
      <c r="C19" s="140"/>
      <c r="D19" s="172"/>
      <c r="E19" s="172"/>
      <c r="F19" s="172"/>
      <c r="G19" s="132"/>
      <c r="H19" s="132"/>
      <c r="I19" s="132"/>
      <c r="J19" s="185"/>
      <c r="K19" s="185"/>
      <c r="L19" s="186"/>
    </row>
    <row r="20" spans="2:12" x14ac:dyDescent="0.4">
      <c r="B20" s="139"/>
      <c r="C20" s="140"/>
      <c r="D20" s="172"/>
      <c r="E20" s="172"/>
      <c r="F20" s="172"/>
      <c r="G20" s="132"/>
      <c r="H20" s="132"/>
      <c r="I20" s="132"/>
      <c r="J20" s="185"/>
      <c r="K20" s="185"/>
      <c r="L20" s="186"/>
    </row>
    <row r="21" spans="2:12" x14ac:dyDescent="0.4">
      <c r="B21" s="139"/>
      <c r="C21" s="140"/>
      <c r="D21" s="172"/>
      <c r="E21" s="172"/>
      <c r="F21" s="172"/>
      <c r="G21" s="132"/>
      <c r="H21" s="132"/>
      <c r="I21" s="132"/>
      <c r="J21" s="185"/>
      <c r="K21" s="185"/>
      <c r="L21" s="186"/>
    </row>
    <row r="22" spans="2:12" x14ac:dyDescent="0.4">
      <c r="B22" s="139"/>
      <c r="C22" s="140"/>
      <c r="D22" s="172"/>
      <c r="E22" s="172"/>
      <c r="F22" s="172"/>
      <c r="G22" s="132"/>
      <c r="H22" s="132"/>
      <c r="I22" s="132"/>
      <c r="J22" s="185"/>
      <c r="K22" s="185"/>
      <c r="L22" s="186"/>
    </row>
    <row r="23" spans="2:12" x14ac:dyDescent="0.4">
      <c r="B23" s="139"/>
      <c r="C23" s="140"/>
      <c r="D23" s="172"/>
      <c r="E23" s="172"/>
      <c r="F23" s="172"/>
      <c r="G23" s="132"/>
      <c r="H23" s="132"/>
      <c r="I23" s="132"/>
      <c r="J23" s="185"/>
      <c r="K23" s="185"/>
      <c r="L23" s="186"/>
    </row>
    <row r="24" spans="2:12" x14ac:dyDescent="0.4">
      <c r="B24" s="139"/>
      <c r="C24" s="140"/>
      <c r="D24" s="172"/>
      <c r="E24" s="172"/>
      <c r="F24" s="172"/>
      <c r="G24" s="132"/>
      <c r="H24" s="132"/>
      <c r="I24" s="132"/>
      <c r="J24" s="185"/>
      <c r="K24" s="185"/>
      <c r="L24" s="186"/>
    </row>
    <row r="25" spans="2:12" x14ac:dyDescent="0.4">
      <c r="B25" s="139"/>
      <c r="C25" s="140"/>
      <c r="D25" s="172"/>
      <c r="E25" s="172"/>
      <c r="F25" s="172"/>
      <c r="G25" s="132"/>
      <c r="H25" s="132"/>
      <c r="I25" s="132"/>
      <c r="J25" s="185"/>
      <c r="K25" s="185"/>
      <c r="L25" s="186"/>
    </row>
    <row r="26" spans="2:12" x14ac:dyDescent="0.4">
      <c r="B26" s="139"/>
      <c r="C26" s="140"/>
      <c r="D26" s="172"/>
      <c r="E26" s="172"/>
      <c r="F26" s="172"/>
      <c r="G26" s="132"/>
      <c r="H26" s="132"/>
      <c r="I26" s="132"/>
      <c r="J26" s="185"/>
      <c r="K26" s="185"/>
      <c r="L26" s="186"/>
    </row>
    <row r="27" spans="2:12" x14ac:dyDescent="0.4">
      <c r="B27" s="139"/>
      <c r="C27" s="140"/>
      <c r="D27" s="172"/>
      <c r="E27" s="172"/>
      <c r="F27" s="172"/>
      <c r="G27" s="132"/>
      <c r="H27" s="132"/>
      <c r="I27" s="132"/>
      <c r="J27" s="185"/>
      <c r="K27" s="185"/>
      <c r="L27" s="186"/>
    </row>
    <row r="28" spans="2:12" x14ac:dyDescent="0.4">
      <c r="B28" s="139"/>
      <c r="C28" s="140"/>
      <c r="D28" s="172"/>
      <c r="E28" s="172"/>
      <c r="F28" s="172"/>
      <c r="G28" s="132"/>
      <c r="H28" s="132"/>
      <c r="I28" s="132"/>
      <c r="J28" s="185"/>
      <c r="K28" s="185"/>
      <c r="L28" s="186"/>
    </row>
    <row r="29" spans="2:12" x14ac:dyDescent="0.4">
      <c r="B29" s="139"/>
      <c r="C29" s="140"/>
      <c r="D29" s="172"/>
      <c r="E29" s="172"/>
      <c r="F29" s="172"/>
      <c r="G29" s="132"/>
      <c r="H29" s="132"/>
      <c r="I29" s="132"/>
      <c r="J29" s="185"/>
      <c r="K29" s="185"/>
      <c r="L29" s="186"/>
    </row>
    <row r="30" spans="2:12" x14ac:dyDescent="0.4">
      <c r="B30" s="139"/>
      <c r="C30" s="140"/>
      <c r="D30" s="172"/>
      <c r="E30" s="172"/>
      <c r="F30" s="172"/>
      <c r="G30" s="132"/>
      <c r="H30" s="132"/>
      <c r="I30" s="132"/>
      <c r="J30" s="185"/>
      <c r="K30" s="185"/>
      <c r="L30" s="186"/>
    </row>
    <row r="31" spans="2:12" x14ac:dyDescent="0.4">
      <c r="B31" s="139"/>
      <c r="C31" s="140"/>
      <c r="D31" s="172"/>
      <c r="E31" s="172"/>
      <c r="F31" s="172"/>
      <c r="G31" s="132"/>
      <c r="H31" s="132"/>
      <c r="I31" s="132"/>
      <c r="J31" s="185"/>
      <c r="K31" s="185"/>
      <c r="L31" s="186"/>
    </row>
    <row r="32" spans="2:12" x14ac:dyDescent="0.4">
      <c r="B32" s="139"/>
      <c r="C32" s="140"/>
      <c r="D32" s="172"/>
      <c r="E32" s="172"/>
      <c r="F32" s="172"/>
      <c r="G32" s="132"/>
      <c r="H32" s="132"/>
      <c r="I32" s="132"/>
      <c r="J32" s="185"/>
      <c r="K32" s="185"/>
      <c r="L32" s="186"/>
    </row>
    <row r="33" spans="2:12" x14ac:dyDescent="0.4">
      <c r="B33" s="139"/>
      <c r="C33" s="140"/>
      <c r="D33" s="172"/>
      <c r="E33" s="172"/>
      <c r="F33" s="172"/>
      <c r="G33" s="132"/>
      <c r="H33" s="132"/>
      <c r="I33" s="132"/>
      <c r="J33" s="185"/>
      <c r="K33" s="185"/>
      <c r="L33" s="186"/>
    </row>
    <row r="34" spans="2:12" x14ac:dyDescent="0.4">
      <c r="B34" s="139"/>
      <c r="C34" s="140"/>
      <c r="D34" s="172"/>
      <c r="E34" s="172"/>
      <c r="F34" s="172"/>
      <c r="G34" s="132"/>
      <c r="H34" s="132"/>
      <c r="I34" s="132"/>
      <c r="J34" s="185"/>
      <c r="K34" s="185"/>
      <c r="L34" s="186"/>
    </row>
    <row r="35" spans="2:12" x14ac:dyDescent="0.4">
      <c r="B35" s="139"/>
      <c r="C35" s="140"/>
      <c r="D35" s="172"/>
      <c r="E35" s="172"/>
      <c r="F35" s="172"/>
      <c r="G35" s="132"/>
      <c r="H35" s="132"/>
      <c r="I35" s="132"/>
      <c r="J35" s="185"/>
      <c r="K35" s="185"/>
      <c r="L35" s="186"/>
    </row>
    <row r="36" spans="2:12" x14ac:dyDescent="0.4">
      <c r="B36" s="139"/>
      <c r="C36" s="140"/>
      <c r="D36" s="172"/>
      <c r="E36" s="172"/>
      <c r="F36" s="172"/>
      <c r="G36" s="132"/>
      <c r="H36" s="132"/>
      <c r="I36" s="132"/>
      <c r="J36" s="185"/>
      <c r="K36" s="185"/>
      <c r="L36" s="186"/>
    </row>
    <row r="37" spans="2:12" x14ac:dyDescent="0.4">
      <c r="B37" s="139"/>
      <c r="C37" s="140"/>
      <c r="D37" s="172"/>
      <c r="E37" s="172"/>
      <c r="F37" s="172"/>
      <c r="G37" s="132"/>
      <c r="H37" s="132"/>
      <c r="I37" s="132"/>
      <c r="J37" s="185"/>
      <c r="K37" s="185"/>
      <c r="L37" s="186"/>
    </row>
    <row r="38" spans="2:12" x14ac:dyDescent="0.4">
      <c r="B38" s="139"/>
      <c r="C38" s="140"/>
      <c r="D38" s="172"/>
      <c r="E38" s="172"/>
      <c r="F38" s="172"/>
      <c r="G38" s="132"/>
      <c r="H38" s="132"/>
      <c r="I38" s="132"/>
      <c r="J38" s="185"/>
      <c r="K38" s="185"/>
      <c r="L38" s="186"/>
    </row>
    <row r="39" spans="2:12" x14ac:dyDescent="0.4">
      <c r="B39" s="139"/>
      <c r="C39" s="140"/>
      <c r="D39" s="172"/>
      <c r="E39" s="172"/>
      <c r="F39" s="172"/>
      <c r="G39" s="132"/>
      <c r="H39" s="132"/>
      <c r="I39" s="132"/>
      <c r="J39" s="185"/>
      <c r="K39" s="185"/>
      <c r="L39" s="186"/>
    </row>
    <row r="40" spans="2:12" x14ac:dyDescent="0.4">
      <c r="B40" s="139"/>
      <c r="C40" s="140"/>
      <c r="D40" s="172"/>
      <c r="E40" s="172"/>
      <c r="F40" s="172"/>
      <c r="G40" s="132"/>
      <c r="H40" s="132"/>
      <c r="I40" s="132"/>
      <c r="J40" s="185"/>
      <c r="K40" s="185"/>
      <c r="L40" s="186"/>
    </row>
    <row r="41" spans="2:12" x14ac:dyDescent="0.4">
      <c r="B41" s="139"/>
      <c r="C41" s="140"/>
      <c r="D41" s="172"/>
      <c r="E41" s="172"/>
      <c r="F41" s="172"/>
      <c r="G41" s="132"/>
      <c r="H41" s="132"/>
      <c r="I41" s="132"/>
      <c r="J41" s="185"/>
      <c r="K41" s="185"/>
      <c r="L41" s="186"/>
    </row>
    <row r="42" spans="2:12" x14ac:dyDescent="0.4">
      <c r="B42" s="139"/>
      <c r="C42" s="140"/>
      <c r="D42" s="172"/>
      <c r="E42" s="172"/>
      <c r="F42" s="172"/>
      <c r="G42" s="132"/>
      <c r="H42" s="132"/>
      <c r="I42" s="132"/>
      <c r="J42" s="185"/>
      <c r="K42" s="185"/>
      <c r="L42" s="186"/>
    </row>
    <row r="43" spans="2:12" x14ac:dyDescent="0.4">
      <c r="B43" s="139"/>
      <c r="C43" s="140"/>
      <c r="D43" s="172"/>
      <c r="E43" s="172"/>
      <c r="F43" s="172"/>
      <c r="G43" s="132"/>
      <c r="H43" s="132"/>
      <c r="I43" s="132"/>
      <c r="J43" s="185"/>
      <c r="K43" s="185"/>
      <c r="L43" s="186"/>
    </row>
    <row r="44" spans="2:12" x14ac:dyDescent="0.4">
      <c r="B44" s="139"/>
      <c r="C44" s="140"/>
      <c r="D44" s="172"/>
      <c r="E44" s="172"/>
      <c r="F44" s="172"/>
      <c r="G44" s="132"/>
      <c r="H44" s="132"/>
      <c r="I44" s="132"/>
      <c r="J44" s="185"/>
      <c r="K44" s="185"/>
      <c r="L44" s="186"/>
    </row>
    <row r="45" spans="2:12" x14ac:dyDescent="0.4">
      <c r="B45" s="139"/>
      <c r="C45" s="140"/>
      <c r="D45" s="172"/>
      <c r="E45" s="172"/>
      <c r="F45" s="172"/>
      <c r="G45" s="132"/>
      <c r="H45" s="132"/>
      <c r="I45" s="132"/>
      <c r="J45" s="185"/>
      <c r="K45" s="185"/>
      <c r="L45" s="186"/>
    </row>
    <row r="46" spans="2:12" x14ac:dyDescent="0.4">
      <c r="B46" s="139"/>
      <c r="C46" s="140"/>
      <c r="D46" s="172"/>
      <c r="E46" s="172"/>
      <c r="F46" s="172"/>
      <c r="G46" s="132"/>
      <c r="H46" s="132"/>
      <c r="I46" s="132"/>
      <c r="J46" s="185"/>
      <c r="K46" s="185"/>
      <c r="L46" s="186"/>
    </row>
    <row r="47" spans="2:12" x14ac:dyDescent="0.4">
      <c r="B47" s="139"/>
      <c r="C47" s="140"/>
      <c r="D47" s="172"/>
      <c r="E47" s="172"/>
      <c r="F47" s="172"/>
      <c r="G47" s="132"/>
      <c r="H47" s="132"/>
      <c r="I47" s="132"/>
      <c r="J47" s="185"/>
      <c r="K47" s="185"/>
      <c r="L47" s="186"/>
    </row>
    <row r="48" spans="2:12" x14ac:dyDescent="0.4">
      <c r="B48" s="139"/>
      <c r="C48" s="140"/>
      <c r="D48" s="172"/>
      <c r="E48" s="172"/>
      <c r="F48" s="172"/>
      <c r="G48" s="132"/>
      <c r="H48" s="132"/>
      <c r="I48" s="132"/>
      <c r="J48" s="185"/>
      <c r="K48" s="185"/>
      <c r="L48" s="186"/>
    </row>
    <row r="49" spans="2:12" x14ac:dyDescent="0.4">
      <c r="B49" s="139"/>
      <c r="C49" s="140"/>
      <c r="D49" s="172"/>
      <c r="E49" s="172"/>
      <c r="F49" s="172"/>
      <c r="G49" s="132"/>
      <c r="H49" s="132"/>
      <c r="I49" s="132"/>
      <c r="J49" s="185"/>
      <c r="K49" s="185"/>
      <c r="L49" s="186"/>
    </row>
    <row r="50" spans="2:12" x14ac:dyDescent="0.4">
      <c r="B50" s="139"/>
      <c r="C50" s="140"/>
      <c r="D50" s="172"/>
      <c r="E50" s="172"/>
      <c r="F50" s="172"/>
      <c r="G50" s="132"/>
      <c r="H50" s="132"/>
      <c r="I50" s="132"/>
      <c r="J50" s="185"/>
      <c r="K50" s="185"/>
      <c r="L50" s="186"/>
    </row>
    <row r="51" spans="2:12" x14ac:dyDescent="0.4">
      <c r="B51" s="139"/>
      <c r="C51" s="140"/>
      <c r="D51" s="172"/>
      <c r="E51" s="172"/>
      <c r="F51" s="172"/>
      <c r="G51" s="132"/>
      <c r="H51" s="132"/>
      <c r="I51" s="132"/>
      <c r="J51" s="185"/>
      <c r="K51" s="185"/>
      <c r="L51" s="186"/>
    </row>
    <row r="52" spans="2:12" x14ac:dyDescent="0.4">
      <c r="B52" s="139"/>
      <c r="C52" s="140"/>
      <c r="D52" s="172"/>
      <c r="E52" s="172"/>
      <c r="F52" s="172"/>
      <c r="G52" s="132"/>
      <c r="H52" s="132"/>
      <c r="I52" s="132"/>
      <c r="J52" s="185"/>
      <c r="K52" s="185"/>
      <c r="L52" s="186"/>
    </row>
    <row r="53" spans="2:12" x14ac:dyDescent="0.4">
      <c r="B53" s="139"/>
      <c r="C53" s="140"/>
      <c r="D53" s="172"/>
      <c r="E53" s="172"/>
      <c r="F53" s="172"/>
      <c r="G53" s="132"/>
      <c r="H53" s="132"/>
      <c r="I53" s="132"/>
      <c r="J53" s="185"/>
      <c r="K53" s="185"/>
      <c r="L53" s="186"/>
    </row>
    <row r="54" spans="2:12" x14ac:dyDescent="0.4">
      <c r="B54" s="139"/>
      <c r="C54" s="140"/>
      <c r="D54" s="172"/>
      <c r="E54" s="172"/>
      <c r="F54" s="172"/>
      <c r="G54" s="132"/>
      <c r="H54" s="132"/>
      <c r="I54" s="132"/>
      <c r="J54" s="185"/>
      <c r="K54" s="185"/>
      <c r="L54" s="186"/>
    </row>
    <row r="55" spans="2:12" x14ac:dyDescent="0.4">
      <c r="B55" s="139"/>
      <c r="C55" s="140"/>
      <c r="D55" s="172"/>
      <c r="E55" s="172"/>
      <c r="F55" s="172"/>
      <c r="G55" s="132"/>
      <c r="H55" s="132"/>
      <c r="I55" s="132"/>
      <c r="J55" s="185"/>
      <c r="K55" s="185"/>
      <c r="L55" s="186"/>
    </row>
    <row r="56" spans="2:12" x14ac:dyDescent="0.4">
      <c r="B56" s="139"/>
      <c r="C56" s="140"/>
      <c r="D56" s="172"/>
      <c r="E56" s="172"/>
      <c r="F56" s="172"/>
      <c r="G56" s="132"/>
      <c r="H56" s="132"/>
      <c r="I56" s="132"/>
      <c r="J56" s="185"/>
      <c r="K56" s="185"/>
      <c r="L56" s="186"/>
    </row>
    <row r="57" spans="2:12" x14ac:dyDescent="0.4">
      <c r="B57" s="139"/>
      <c r="C57" s="140"/>
      <c r="D57" s="172"/>
      <c r="E57" s="172"/>
      <c r="F57" s="172"/>
      <c r="G57" s="132"/>
      <c r="H57" s="132"/>
      <c r="I57" s="132"/>
      <c r="J57" s="185"/>
      <c r="K57" s="185"/>
      <c r="L57" s="186"/>
    </row>
    <row r="58" spans="2:12" x14ac:dyDescent="0.4">
      <c r="B58" s="139"/>
      <c r="C58" s="140"/>
      <c r="D58" s="172"/>
      <c r="E58" s="172"/>
      <c r="F58" s="172"/>
      <c r="G58" s="132"/>
      <c r="H58" s="132"/>
      <c r="I58" s="132"/>
      <c r="J58" s="185"/>
      <c r="K58" s="185"/>
      <c r="L58" s="186"/>
    </row>
    <row r="59" spans="2:12" x14ac:dyDescent="0.4">
      <c r="B59" s="139"/>
      <c r="C59" s="140"/>
      <c r="D59" s="172"/>
      <c r="E59" s="172"/>
      <c r="F59" s="172"/>
      <c r="G59" s="132"/>
      <c r="H59" s="132"/>
      <c r="I59" s="132"/>
      <c r="J59" s="185"/>
      <c r="K59" s="185"/>
      <c r="L59" s="186"/>
    </row>
    <row r="60" spans="2:12" x14ac:dyDescent="0.4">
      <c r="B60" s="139"/>
      <c r="C60" s="140"/>
      <c r="D60" s="172"/>
      <c r="E60" s="172"/>
      <c r="F60" s="172"/>
      <c r="G60" s="132"/>
      <c r="H60" s="132"/>
      <c r="I60" s="132"/>
      <c r="J60" s="185"/>
      <c r="K60" s="185"/>
      <c r="L60" s="186"/>
    </row>
    <row r="61" spans="2:12" x14ac:dyDescent="0.4">
      <c r="B61" s="139"/>
      <c r="C61" s="140"/>
      <c r="D61" s="172"/>
      <c r="E61" s="172"/>
      <c r="F61" s="172"/>
      <c r="G61" s="132"/>
      <c r="H61" s="132"/>
      <c r="I61" s="132"/>
      <c r="J61" s="185"/>
      <c r="K61" s="185"/>
      <c r="L61" s="186"/>
    </row>
    <row r="62" spans="2:12" x14ac:dyDescent="0.4">
      <c r="B62" s="139"/>
      <c r="C62" s="140"/>
      <c r="D62" s="172"/>
      <c r="E62" s="172"/>
      <c r="F62" s="172"/>
      <c r="G62" s="132"/>
      <c r="H62" s="132"/>
      <c r="I62" s="132"/>
      <c r="J62" s="185"/>
      <c r="K62" s="185"/>
      <c r="L62" s="186"/>
    </row>
    <row r="63" spans="2:12" x14ac:dyDescent="0.4">
      <c r="B63" s="139"/>
      <c r="C63" s="140"/>
      <c r="D63" s="172"/>
      <c r="E63" s="172"/>
      <c r="F63" s="172"/>
      <c r="G63" s="132"/>
      <c r="H63" s="132"/>
      <c r="I63" s="132"/>
      <c r="J63" s="185"/>
      <c r="K63" s="185"/>
      <c r="L63" s="186"/>
    </row>
    <row r="64" spans="2:12" x14ac:dyDescent="0.4">
      <c r="B64" s="139"/>
      <c r="C64" s="140"/>
      <c r="D64" s="172"/>
      <c r="E64" s="172"/>
      <c r="F64" s="172"/>
      <c r="G64" s="132"/>
      <c r="H64" s="132"/>
      <c r="I64" s="132"/>
      <c r="J64" s="185"/>
      <c r="K64" s="185"/>
      <c r="L64" s="186"/>
    </row>
    <row r="65" spans="2:12" x14ac:dyDescent="0.4">
      <c r="B65" s="139"/>
      <c r="C65" s="140"/>
      <c r="D65" s="172"/>
      <c r="E65" s="172"/>
      <c r="F65" s="172"/>
      <c r="G65" s="132"/>
      <c r="H65" s="132"/>
      <c r="I65" s="132"/>
      <c r="J65" s="185"/>
      <c r="K65" s="185"/>
      <c r="L65" s="186"/>
    </row>
    <row r="66" spans="2:12" x14ac:dyDescent="0.4">
      <c r="B66" s="139"/>
      <c r="C66" s="140"/>
      <c r="D66" s="172"/>
      <c r="E66" s="172"/>
      <c r="F66" s="172"/>
      <c r="G66" s="132"/>
      <c r="H66" s="132"/>
      <c r="I66" s="132"/>
      <c r="J66" s="185"/>
      <c r="K66" s="185"/>
      <c r="L66" s="186"/>
    </row>
    <row r="67" spans="2:12" x14ac:dyDescent="0.4">
      <c r="B67" s="139"/>
      <c r="C67" s="140"/>
      <c r="D67" s="172"/>
      <c r="E67" s="172"/>
      <c r="F67" s="172"/>
      <c r="G67" s="132"/>
      <c r="H67" s="132"/>
      <c r="I67" s="132"/>
      <c r="J67" s="185"/>
      <c r="K67" s="185"/>
      <c r="L67" s="186"/>
    </row>
    <row r="68" spans="2:12" x14ac:dyDescent="0.4">
      <c r="B68" s="139"/>
      <c r="C68" s="140"/>
      <c r="D68" s="172"/>
      <c r="E68" s="172"/>
      <c r="F68" s="172"/>
      <c r="G68" s="132"/>
      <c r="H68" s="132"/>
      <c r="I68" s="132"/>
      <c r="J68" s="185"/>
      <c r="K68" s="185"/>
      <c r="L68" s="186"/>
    </row>
    <row r="69" spans="2:12" x14ac:dyDescent="0.4">
      <c r="B69" s="139"/>
      <c r="C69" s="140"/>
      <c r="D69" s="172"/>
      <c r="E69" s="172"/>
      <c r="F69" s="172"/>
      <c r="G69" s="132"/>
      <c r="H69" s="132"/>
      <c r="I69" s="132"/>
      <c r="J69" s="185"/>
      <c r="K69" s="185"/>
      <c r="L69" s="186"/>
    </row>
    <row r="70" spans="2:12" x14ac:dyDescent="0.4">
      <c r="B70" s="139"/>
      <c r="C70" s="140"/>
      <c r="D70" s="172"/>
      <c r="E70" s="172"/>
      <c r="F70" s="172"/>
      <c r="G70" s="132"/>
      <c r="H70" s="132"/>
      <c r="I70" s="132"/>
      <c r="J70" s="185"/>
      <c r="K70" s="185"/>
      <c r="L70" s="186"/>
    </row>
    <row r="71" spans="2:12" x14ac:dyDescent="0.4">
      <c r="B71" s="139"/>
      <c r="C71" s="140"/>
      <c r="D71" s="172"/>
      <c r="E71" s="172"/>
      <c r="F71" s="172"/>
      <c r="G71" s="132"/>
      <c r="H71" s="132"/>
      <c r="I71" s="132"/>
      <c r="J71" s="185"/>
      <c r="K71" s="185"/>
      <c r="L71" s="186"/>
    </row>
    <row r="72" spans="2:12" x14ac:dyDescent="0.4">
      <c r="B72" s="139"/>
      <c r="C72" s="140"/>
      <c r="D72" s="172"/>
      <c r="E72" s="172"/>
      <c r="F72" s="172"/>
      <c r="G72" s="132"/>
      <c r="H72" s="132"/>
      <c r="I72" s="132"/>
      <c r="J72" s="185"/>
      <c r="K72" s="185"/>
      <c r="L72" s="186"/>
    </row>
    <row r="73" spans="2:12" x14ac:dyDescent="0.4">
      <c r="B73" s="139"/>
      <c r="C73" s="140"/>
      <c r="D73" s="172"/>
      <c r="E73" s="172"/>
      <c r="F73" s="172"/>
      <c r="G73" s="132"/>
      <c r="H73" s="132"/>
      <c r="I73" s="132"/>
      <c r="J73" s="185"/>
      <c r="K73" s="185"/>
      <c r="L73" s="186"/>
    </row>
    <row r="74" spans="2:12" x14ac:dyDescent="0.4">
      <c r="B74" s="139"/>
      <c r="C74" s="140"/>
      <c r="D74" s="172"/>
      <c r="E74" s="172"/>
      <c r="F74" s="172"/>
      <c r="G74" s="132"/>
      <c r="H74" s="132"/>
      <c r="I74" s="132"/>
      <c r="J74" s="185"/>
      <c r="K74" s="185"/>
      <c r="L74" s="186"/>
    </row>
    <row r="75" spans="2:12" x14ac:dyDescent="0.4">
      <c r="B75" s="139"/>
      <c r="C75" s="140"/>
      <c r="D75" s="172"/>
      <c r="E75" s="172"/>
      <c r="F75" s="172"/>
      <c r="G75" s="132"/>
      <c r="H75" s="132"/>
      <c r="I75" s="132"/>
      <c r="J75" s="185"/>
      <c r="K75" s="185"/>
      <c r="L75" s="186"/>
    </row>
    <row r="76" spans="2:12" x14ac:dyDescent="0.4">
      <c r="B76" s="139"/>
      <c r="C76" s="140"/>
      <c r="D76" s="172"/>
      <c r="E76" s="172"/>
      <c r="F76" s="172"/>
      <c r="G76" s="132"/>
      <c r="H76" s="132"/>
      <c r="I76" s="132"/>
      <c r="J76" s="185"/>
      <c r="K76" s="185"/>
      <c r="L76" s="186"/>
    </row>
    <row r="77" spans="2:12" x14ac:dyDescent="0.4">
      <c r="B77" s="139"/>
      <c r="C77" s="140"/>
      <c r="D77" s="172"/>
      <c r="E77" s="172"/>
      <c r="F77" s="172"/>
      <c r="G77" s="132"/>
      <c r="H77" s="132"/>
      <c r="I77" s="132"/>
      <c r="J77" s="185"/>
      <c r="K77" s="185"/>
      <c r="L77" s="186"/>
    </row>
    <row r="78" spans="2:12" x14ac:dyDescent="0.4">
      <c r="B78" s="139"/>
      <c r="C78" s="140"/>
      <c r="D78" s="172"/>
      <c r="E78" s="172"/>
      <c r="F78" s="172"/>
      <c r="G78" s="132"/>
      <c r="H78" s="132"/>
      <c r="I78" s="132"/>
      <c r="J78" s="185"/>
      <c r="K78" s="185"/>
      <c r="L78" s="186"/>
    </row>
    <row r="79" spans="2:12" x14ac:dyDescent="0.4">
      <c r="B79" s="139"/>
      <c r="C79" s="140"/>
      <c r="D79" s="172"/>
      <c r="E79" s="172"/>
      <c r="F79" s="172"/>
      <c r="G79" s="132"/>
      <c r="H79" s="132"/>
      <c r="I79" s="132"/>
      <c r="J79" s="185"/>
      <c r="K79" s="185"/>
      <c r="L79" s="186"/>
    </row>
    <row r="80" spans="2:12" x14ac:dyDescent="0.4">
      <c r="B80" s="139"/>
      <c r="C80" s="140"/>
      <c r="D80" s="172"/>
      <c r="E80" s="172"/>
      <c r="F80" s="172"/>
      <c r="G80" s="132"/>
      <c r="H80" s="132"/>
      <c r="I80" s="132"/>
      <c r="J80" s="185"/>
      <c r="K80" s="185"/>
      <c r="L80" s="186"/>
    </row>
    <row r="81" spans="2:12" x14ac:dyDescent="0.4">
      <c r="B81" s="139"/>
      <c r="C81" s="140"/>
      <c r="D81" s="172"/>
      <c r="E81" s="172"/>
      <c r="F81" s="172"/>
      <c r="G81" s="132"/>
      <c r="H81" s="132"/>
      <c r="I81" s="132"/>
      <c r="J81" s="185"/>
      <c r="K81" s="185"/>
      <c r="L81" s="186"/>
    </row>
    <row r="82" spans="2:12" x14ac:dyDescent="0.4">
      <c r="B82" s="139"/>
      <c r="C82" s="140"/>
      <c r="D82" s="172"/>
      <c r="E82" s="172"/>
      <c r="F82" s="172"/>
      <c r="G82" s="132"/>
      <c r="H82" s="132"/>
      <c r="I82" s="132"/>
      <c r="J82" s="185"/>
      <c r="K82" s="185"/>
      <c r="L82" s="186"/>
    </row>
    <row r="83" spans="2:12" x14ac:dyDescent="0.4">
      <c r="B83" s="139"/>
      <c r="C83" s="140"/>
      <c r="D83" s="172"/>
      <c r="E83" s="172"/>
      <c r="F83" s="172"/>
      <c r="G83" s="132"/>
      <c r="H83" s="132"/>
      <c r="I83" s="132"/>
      <c r="J83" s="185"/>
      <c r="K83" s="185"/>
      <c r="L83" s="186"/>
    </row>
    <row r="84" spans="2:12" x14ac:dyDescent="0.4">
      <c r="B84" s="139"/>
      <c r="C84" s="140"/>
      <c r="D84" s="172"/>
      <c r="E84" s="172"/>
      <c r="F84" s="172"/>
      <c r="G84" s="132"/>
      <c r="H84" s="132"/>
      <c r="I84" s="132"/>
      <c r="J84" s="185"/>
      <c r="K84" s="185"/>
      <c r="L84" s="186"/>
    </row>
    <row r="85" spans="2:12" x14ac:dyDescent="0.4">
      <c r="B85" s="139"/>
      <c r="C85" s="140"/>
      <c r="D85" s="172"/>
      <c r="E85" s="172"/>
      <c r="F85" s="172"/>
      <c r="G85" s="132"/>
      <c r="H85" s="132"/>
      <c r="I85" s="132"/>
      <c r="J85" s="185"/>
      <c r="K85" s="185"/>
      <c r="L85" s="186"/>
    </row>
    <row r="86" spans="2:12" x14ac:dyDescent="0.4">
      <c r="B86" s="139"/>
      <c r="C86" s="140"/>
      <c r="D86" s="172"/>
      <c r="E86" s="172"/>
      <c r="F86" s="172"/>
      <c r="G86" s="132"/>
      <c r="H86" s="132"/>
      <c r="I86" s="132"/>
      <c r="J86" s="185"/>
      <c r="K86" s="185"/>
      <c r="L86" s="186"/>
    </row>
    <row r="87" spans="2:12" x14ac:dyDescent="0.4">
      <c r="B87" s="139"/>
      <c r="C87" s="140"/>
      <c r="D87" s="172"/>
      <c r="E87" s="172"/>
      <c r="F87" s="172"/>
      <c r="G87" s="132"/>
      <c r="H87" s="132"/>
      <c r="I87" s="132"/>
      <c r="J87" s="185"/>
      <c r="K87" s="185"/>
      <c r="L87" s="186"/>
    </row>
    <row r="88" spans="2:12" x14ac:dyDescent="0.4">
      <c r="B88" s="139"/>
      <c r="C88" s="140"/>
      <c r="D88" s="172"/>
      <c r="E88" s="172"/>
      <c r="F88" s="172"/>
      <c r="G88" s="132"/>
      <c r="H88" s="132"/>
      <c r="I88" s="132"/>
      <c r="J88" s="185"/>
      <c r="K88" s="185"/>
      <c r="L88" s="186"/>
    </row>
    <row r="89" spans="2:12" x14ac:dyDescent="0.4">
      <c r="B89" s="139"/>
      <c r="C89" s="140"/>
      <c r="D89" s="172"/>
      <c r="E89" s="172"/>
      <c r="F89" s="172"/>
      <c r="G89" s="132"/>
      <c r="H89" s="132"/>
      <c r="I89" s="132"/>
      <c r="J89" s="185"/>
      <c r="K89" s="185"/>
      <c r="L89" s="186"/>
    </row>
    <row r="90" spans="2:12" x14ac:dyDescent="0.4">
      <c r="B90" s="139"/>
      <c r="C90" s="140"/>
      <c r="D90" s="172"/>
      <c r="E90" s="172"/>
      <c r="F90" s="172"/>
      <c r="G90" s="132"/>
      <c r="H90" s="132"/>
      <c r="I90" s="132"/>
      <c r="J90" s="185"/>
      <c r="K90" s="185"/>
      <c r="L90" s="186"/>
    </row>
    <row r="91" spans="2:12" x14ac:dyDescent="0.4">
      <c r="B91" s="139"/>
      <c r="C91" s="140"/>
      <c r="D91" s="172"/>
      <c r="E91" s="172"/>
      <c r="F91" s="172"/>
      <c r="G91" s="132"/>
      <c r="H91" s="132"/>
      <c r="I91" s="132"/>
      <c r="J91" s="185"/>
      <c r="K91" s="185"/>
      <c r="L91" s="186"/>
    </row>
    <row r="92" spans="2:12" x14ac:dyDescent="0.4">
      <c r="B92" s="139"/>
      <c r="C92" s="140"/>
      <c r="D92" s="172"/>
      <c r="E92" s="172"/>
      <c r="F92" s="172"/>
      <c r="G92" s="132"/>
      <c r="H92" s="132"/>
      <c r="I92" s="132"/>
      <c r="J92" s="185"/>
      <c r="K92" s="185"/>
      <c r="L92" s="186"/>
    </row>
    <row r="93" spans="2:12" x14ac:dyDescent="0.4">
      <c r="B93" s="139"/>
      <c r="C93" s="140"/>
      <c r="D93" s="172"/>
      <c r="E93" s="172"/>
      <c r="F93" s="172"/>
      <c r="G93" s="132"/>
      <c r="H93" s="132"/>
      <c r="I93" s="132"/>
      <c r="J93" s="185"/>
      <c r="K93" s="185"/>
      <c r="L93" s="186"/>
    </row>
    <row r="94" spans="2:12" x14ac:dyDescent="0.4">
      <c r="B94" s="139"/>
      <c r="C94" s="140"/>
      <c r="D94" s="172"/>
      <c r="E94" s="172"/>
      <c r="F94" s="172"/>
      <c r="G94" s="132"/>
      <c r="H94" s="132"/>
      <c r="I94" s="132"/>
      <c r="J94" s="185"/>
      <c r="K94" s="185"/>
      <c r="L94" s="186"/>
    </row>
    <row r="95" spans="2:12" x14ac:dyDescent="0.4">
      <c r="B95" s="139"/>
      <c r="C95" s="140"/>
      <c r="D95" s="172"/>
      <c r="E95" s="172"/>
      <c r="F95" s="172"/>
      <c r="G95" s="132"/>
      <c r="H95" s="132"/>
      <c r="I95" s="132"/>
      <c r="J95" s="185"/>
      <c r="K95" s="185"/>
      <c r="L95" s="186"/>
    </row>
    <row r="96" spans="2:12" x14ac:dyDescent="0.4">
      <c r="B96" s="139"/>
      <c r="C96" s="140"/>
      <c r="D96" s="172"/>
      <c r="E96" s="172"/>
      <c r="F96" s="172"/>
      <c r="G96" s="132"/>
      <c r="H96" s="132"/>
      <c r="I96" s="132"/>
      <c r="J96" s="185"/>
      <c r="K96" s="185"/>
      <c r="L96" s="186"/>
    </row>
    <row r="97" spans="2:12" x14ac:dyDescent="0.4">
      <c r="B97" s="139"/>
      <c r="C97" s="140"/>
      <c r="D97" s="172"/>
      <c r="E97" s="172"/>
      <c r="F97" s="172"/>
      <c r="G97" s="132"/>
      <c r="H97" s="132"/>
      <c r="I97" s="132"/>
      <c r="J97" s="185"/>
      <c r="K97" s="185"/>
      <c r="L97" s="186"/>
    </row>
    <row r="98" spans="2:12" x14ac:dyDescent="0.4">
      <c r="B98" s="139"/>
      <c r="C98" s="140"/>
      <c r="D98" s="172"/>
      <c r="E98" s="172"/>
      <c r="F98" s="172"/>
      <c r="G98" s="132"/>
      <c r="H98" s="132"/>
      <c r="I98" s="132"/>
      <c r="J98" s="185"/>
      <c r="K98" s="185"/>
      <c r="L98" s="186"/>
    </row>
    <row r="99" spans="2:12" x14ac:dyDescent="0.4">
      <c r="B99" s="139"/>
      <c r="C99" s="140"/>
      <c r="D99" s="172"/>
      <c r="E99" s="172"/>
      <c r="F99" s="172"/>
      <c r="G99" s="132"/>
      <c r="H99" s="132"/>
      <c r="I99" s="132"/>
      <c r="J99" s="185"/>
      <c r="K99" s="185"/>
      <c r="L99" s="186"/>
    </row>
    <row r="100" spans="2:12" x14ac:dyDescent="0.4">
      <c r="B100" s="139"/>
      <c r="C100" s="140"/>
      <c r="D100" s="172"/>
      <c r="E100" s="172"/>
      <c r="F100" s="172"/>
      <c r="G100" s="132"/>
      <c r="H100" s="132"/>
      <c r="I100" s="132"/>
      <c r="J100" s="185"/>
      <c r="K100" s="185"/>
      <c r="L100" s="186"/>
    </row>
    <row r="101" spans="2:12" x14ac:dyDescent="0.4">
      <c r="B101" s="139"/>
      <c r="C101" s="140"/>
      <c r="D101" s="172"/>
      <c r="E101" s="172"/>
      <c r="F101" s="172"/>
      <c r="G101" s="132"/>
      <c r="H101" s="132"/>
      <c r="I101" s="132"/>
      <c r="J101" s="185"/>
      <c r="K101" s="185"/>
      <c r="L101" s="186"/>
    </row>
    <row r="102" spans="2:12" x14ac:dyDescent="0.4">
      <c r="B102" s="139"/>
      <c r="C102" s="140"/>
      <c r="D102" s="172"/>
      <c r="E102" s="172"/>
      <c r="F102" s="172"/>
      <c r="G102" s="132"/>
      <c r="H102" s="132"/>
      <c r="I102" s="132"/>
      <c r="J102" s="185"/>
      <c r="K102" s="185"/>
      <c r="L102" s="186"/>
    </row>
    <row r="103" spans="2:12" x14ac:dyDescent="0.4">
      <c r="B103" s="139"/>
      <c r="C103" s="140"/>
      <c r="D103" s="172"/>
      <c r="E103" s="172"/>
      <c r="F103" s="172"/>
      <c r="G103" s="132"/>
      <c r="H103" s="132"/>
      <c r="I103" s="132"/>
      <c r="J103" s="185"/>
      <c r="K103" s="185"/>
      <c r="L103" s="186"/>
    </row>
    <row r="104" spans="2:12" x14ac:dyDescent="0.4">
      <c r="B104" s="139"/>
      <c r="C104" s="140"/>
      <c r="D104" s="172"/>
      <c r="E104" s="172"/>
      <c r="F104" s="172"/>
      <c r="G104" s="132"/>
      <c r="H104" s="132"/>
      <c r="I104" s="132"/>
      <c r="J104" s="185"/>
      <c r="K104" s="185"/>
      <c r="L104" s="186"/>
    </row>
    <row r="105" spans="2:12" x14ac:dyDescent="0.4">
      <c r="B105" s="139"/>
      <c r="C105" s="140"/>
      <c r="D105" s="172"/>
      <c r="E105" s="172"/>
      <c r="F105" s="172"/>
      <c r="G105" s="132"/>
      <c r="H105" s="132"/>
      <c r="I105" s="132"/>
      <c r="J105" s="185"/>
      <c r="K105" s="185"/>
      <c r="L105" s="186"/>
    </row>
    <row r="106" spans="2:12" x14ac:dyDescent="0.4">
      <c r="B106" s="139"/>
      <c r="C106" s="140"/>
      <c r="D106" s="172"/>
      <c r="E106" s="172"/>
      <c r="F106" s="172"/>
      <c r="G106" s="132"/>
      <c r="H106" s="132"/>
      <c r="I106" s="132"/>
      <c r="J106" s="185"/>
      <c r="K106" s="185"/>
      <c r="L106" s="186"/>
    </row>
    <row r="107" spans="2:12" x14ac:dyDescent="0.4">
      <c r="B107" s="139"/>
      <c r="C107" s="140"/>
      <c r="D107" s="172"/>
      <c r="E107" s="172"/>
      <c r="F107" s="172"/>
      <c r="G107" s="132"/>
      <c r="H107" s="132"/>
      <c r="I107" s="132"/>
      <c r="J107" s="185"/>
      <c r="K107" s="185"/>
      <c r="L107" s="186"/>
    </row>
    <row r="108" spans="2:12" x14ac:dyDescent="0.4">
      <c r="B108" s="139"/>
      <c r="C108" s="140"/>
      <c r="D108" s="172"/>
      <c r="E108" s="172"/>
      <c r="F108" s="172"/>
      <c r="G108" s="132"/>
      <c r="H108" s="132"/>
      <c r="I108" s="132"/>
      <c r="J108" s="185"/>
      <c r="K108" s="185"/>
      <c r="L108" s="186"/>
    </row>
    <row r="109" spans="2:12" x14ac:dyDescent="0.4">
      <c r="B109" s="139"/>
      <c r="C109" s="140"/>
      <c r="D109" s="172"/>
      <c r="E109" s="172"/>
      <c r="F109" s="172"/>
      <c r="G109" s="132"/>
      <c r="H109" s="132"/>
      <c r="I109" s="132"/>
      <c r="J109" s="185"/>
      <c r="K109" s="185"/>
      <c r="L109" s="186"/>
    </row>
    <row r="110" spans="2:12" x14ac:dyDescent="0.4">
      <c r="B110" s="139"/>
      <c r="C110" s="140"/>
      <c r="D110" s="172"/>
      <c r="E110" s="172"/>
      <c r="F110" s="172"/>
      <c r="G110" s="132"/>
      <c r="H110" s="132"/>
      <c r="I110" s="132"/>
      <c r="J110" s="185"/>
      <c r="K110" s="185"/>
      <c r="L110" s="186"/>
    </row>
    <row r="111" spans="2:12" x14ac:dyDescent="0.4">
      <c r="B111" s="139"/>
      <c r="C111" s="140"/>
      <c r="D111" s="172"/>
      <c r="E111" s="172"/>
      <c r="F111" s="172"/>
      <c r="G111" s="132"/>
      <c r="H111" s="132"/>
      <c r="I111" s="132"/>
      <c r="J111" s="185"/>
      <c r="K111" s="185"/>
      <c r="L111" s="186"/>
    </row>
    <row r="112" spans="2:12" x14ac:dyDescent="0.4">
      <c r="B112" s="139"/>
      <c r="C112" s="140"/>
      <c r="D112" s="172"/>
      <c r="E112" s="172"/>
      <c r="F112" s="172"/>
      <c r="G112" s="132"/>
      <c r="H112" s="132"/>
      <c r="I112" s="132"/>
      <c r="J112" s="185"/>
      <c r="K112" s="185"/>
      <c r="L112" s="186"/>
    </row>
    <row r="113" spans="2:12" x14ac:dyDescent="0.4">
      <c r="B113" s="139"/>
      <c r="C113" s="140"/>
      <c r="D113" s="172"/>
      <c r="E113" s="172"/>
      <c r="F113" s="172"/>
      <c r="G113" s="132"/>
      <c r="H113" s="132"/>
      <c r="I113" s="132"/>
      <c r="J113" s="185"/>
      <c r="K113" s="185"/>
      <c r="L113" s="186"/>
    </row>
    <row r="114" spans="2:12" x14ac:dyDescent="0.4">
      <c r="B114" s="139"/>
      <c r="C114" s="140"/>
      <c r="D114" s="172"/>
      <c r="E114" s="172"/>
      <c r="F114" s="172"/>
      <c r="G114" s="132"/>
      <c r="H114" s="132"/>
      <c r="I114" s="132"/>
      <c r="J114" s="185"/>
      <c r="K114" s="185"/>
      <c r="L114" s="186"/>
    </row>
    <row r="115" spans="2:12" x14ac:dyDescent="0.4">
      <c r="B115" s="139"/>
      <c r="C115" s="140"/>
      <c r="D115" s="172"/>
      <c r="E115" s="172"/>
      <c r="F115" s="172"/>
      <c r="G115" s="132"/>
      <c r="H115" s="132"/>
      <c r="I115" s="132"/>
      <c r="J115" s="185"/>
      <c r="K115" s="185"/>
      <c r="L115" s="186"/>
    </row>
    <row r="116" spans="2:12" x14ac:dyDescent="0.4">
      <c r="B116" s="139"/>
      <c r="C116" s="140"/>
      <c r="D116" s="172"/>
      <c r="E116" s="172"/>
      <c r="F116" s="172"/>
      <c r="G116" s="132"/>
      <c r="H116" s="132"/>
      <c r="I116" s="132"/>
      <c r="J116" s="185"/>
      <c r="K116" s="185"/>
      <c r="L116" s="186"/>
    </row>
    <row r="117" spans="2:12" x14ac:dyDescent="0.4">
      <c r="B117" s="139"/>
      <c r="C117" s="140"/>
      <c r="D117" s="172"/>
      <c r="E117" s="172"/>
      <c r="F117" s="172"/>
      <c r="G117" s="132"/>
      <c r="H117" s="132"/>
      <c r="I117" s="132"/>
      <c r="J117" s="185"/>
      <c r="K117" s="185"/>
      <c r="L117" s="186"/>
    </row>
    <row r="118" spans="2:12" x14ac:dyDescent="0.4">
      <c r="B118" s="139"/>
      <c r="C118" s="140"/>
      <c r="D118" s="172"/>
      <c r="E118" s="172"/>
      <c r="F118" s="172"/>
      <c r="G118" s="132"/>
      <c r="H118" s="132"/>
      <c r="I118" s="132"/>
      <c r="J118" s="185"/>
      <c r="K118" s="185"/>
      <c r="L118" s="186"/>
    </row>
    <row r="119" spans="2:12" x14ac:dyDescent="0.4">
      <c r="B119" s="139"/>
      <c r="C119" s="140"/>
      <c r="D119" s="172"/>
      <c r="E119" s="172"/>
      <c r="F119" s="172"/>
      <c r="G119" s="132"/>
      <c r="H119" s="132"/>
      <c r="I119" s="132"/>
      <c r="J119" s="185"/>
      <c r="K119" s="185"/>
      <c r="L119" s="186"/>
    </row>
    <row r="120" spans="2:12" x14ac:dyDescent="0.4">
      <c r="B120" s="139"/>
      <c r="C120" s="140"/>
      <c r="D120" s="172"/>
      <c r="E120" s="172"/>
      <c r="F120" s="172"/>
      <c r="G120" s="132"/>
      <c r="H120" s="132"/>
      <c r="I120" s="132"/>
      <c r="J120" s="185"/>
      <c r="K120" s="185"/>
      <c r="L120" s="186"/>
    </row>
    <row r="121" spans="2:12" x14ac:dyDescent="0.4">
      <c r="B121" s="139"/>
      <c r="C121" s="140"/>
      <c r="D121" s="172"/>
      <c r="E121" s="172"/>
      <c r="F121" s="172"/>
      <c r="G121" s="132"/>
      <c r="H121" s="132"/>
      <c r="I121" s="132"/>
      <c r="J121" s="185"/>
      <c r="K121" s="185"/>
      <c r="L121" s="186"/>
    </row>
    <row r="122" spans="2:12" x14ac:dyDescent="0.4">
      <c r="B122" s="139"/>
      <c r="C122" s="140"/>
      <c r="D122" s="172"/>
      <c r="E122" s="172"/>
      <c r="F122" s="172"/>
      <c r="G122" s="132"/>
      <c r="H122" s="132"/>
      <c r="I122" s="132"/>
      <c r="J122" s="185"/>
      <c r="K122" s="185"/>
      <c r="L122" s="186"/>
    </row>
    <row r="123" spans="2:12" x14ac:dyDescent="0.4">
      <c r="B123" s="139"/>
      <c r="C123" s="140"/>
      <c r="D123" s="172"/>
      <c r="E123" s="172"/>
      <c r="F123" s="172"/>
      <c r="G123" s="132"/>
      <c r="H123" s="132"/>
      <c r="I123" s="132"/>
      <c r="J123" s="185"/>
      <c r="K123" s="185"/>
      <c r="L123" s="186"/>
    </row>
    <row r="124" spans="2:12" x14ac:dyDescent="0.4">
      <c r="B124" s="139"/>
      <c r="C124" s="140"/>
      <c r="D124" s="172"/>
      <c r="E124" s="172"/>
      <c r="F124" s="172"/>
      <c r="G124" s="132"/>
      <c r="H124" s="132"/>
      <c r="I124" s="132"/>
      <c r="J124" s="185"/>
      <c r="K124" s="185"/>
      <c r="L124" s="186"/>
    </row>
    <row r="125" spans="2:12" x14ac:dyDescent="0.4">
      <c r="B125" s="139"/>
      <c r="C125" s="140"/>
      <c r="D125" s="172"/>
      <c r="E125" s="172"/>
      <c r="F125" s="172"/>
      <c r="G125" s="132"/>
      <c r="H125" s="132"/>
      <c r="I125" s="132"/>
      <c r="J125" s="185"/>
      <c r="K125" s="185"/>
      <c r="L125" s="186"/>
    </row>
    <row r="126" spans="2:12" x14ac:dyDescent="0.4">
      <c r="B126" s="139"/>
      <c r="C126" s="140"/>
      <c r="D126" s="172"/>
      <c r="E126" s="172"/>
      <c r="F126" s="172"/>
      <c r="G126" s="132"/>
      <c r="H126" s="132"/>
      <c r="I126" s="132"/>
      <c r="J126" s="185"/>
      <c r="K126" s="185"/>
      <c r="L126" s="186"/>
    </row>
    <row r="127" spans="2:12" x14ac:dyDescent="0.4">
      <c r="B127" s="139"/>
      <c r="C127" s="140"/>
      <c r="D127" s="172"/>
      <c r="E127" s="172"/>
      <c r="F127" s="172"/>
      <c r="G127" s="132"/>
      <c r="H127" s="132"/>
      <c r="I127" s="132"/>
      <c r="J127" s="185"/>
      <c r="K127" s="185"/>
      <c r="L127" s="186"/>
    </row>
    <row r="128" spans="2:12" x14ac:dyDescent="0.4">
      <c r="B128" s="139"/>
      <c r="C128" s="140"/>
      <c r="D128" s="172"/>
      <c r="E128" s="172"/>
      <c r="F128" s="172"/>
      <c r="G128" s="132"/>
      <c r="H128" s="132"/>
      <c r="I128" s="132"/>
      <c r="J128" s="185"/>
      <c r="K128" s="185"/>
      <c r="L128" s="186"/>
    </row>
    <row r="129" spans="2:12" x14ac:dyDescent="0.4">
      <c r="B129" s="139"/>
      <c r="C129" s="140"/>
      <c r="D129" s="172"/>
      <c r="E129" s="172"/>
      <c r="F129" s="172"/>
      <c r="G129" s="132"/>
      <c r="H129" s="132"/>
      <c r="I129" s="132"/>
      <c r="J129" s="185"/>
      <c r="K129" s="185"/>
      <c r="L129" s="186"/>
    </row>
    <row r="130" spans="2:12" x14ac:dyDescent="0.4">
      <c r="B130" s="139"/>
      <c r="C130" s="140"/>
      <c r="D130" s="172"/>
      <c r="E130" s="172"/>
      <c r="F130" s="172"/>
      <c r="G130" s="132"/>
      <c r="H130" s="132"/>
      <c r="I130" s="132"/>
      <c r="J130" s="185"/>
      <c r="K130" s="185"/>
      <c r="L130" s="186"/>
    </row>
    <row r="131" spans="2:12" x14ac:dyDescent="0.4">
      <c r="B131" s="139"/>
      <c r="C131" s="140"/>
      <c r="D131" s="172"/>
      <c r="E131" s="172"/>
      <c r="F131" s="172"/>
      <c r="G131" s="132"/>
      <c r="H131" s="132"/>
      <c r="I131" s="132"/>
      <c r="J131" s="185"/>
      <c r="K131" s="185"/>
      <c r="L131" s="186"/>
    </row>
    <row r="132" spans="2:12" x14ac:dyDescent="0.4">
      <c r="B132" s="139"/>
      <c r="C132" s="140"/>
      <c r="D132" s="172"/>
      <c r="E132" s="172"/>
      <c r="F132" s="172"/>
      <c r="G132" s="132"/>
      <c r="H132" s="132"/>
      <c r="I132" s="132"/>
      <c r="J132" s="185"/>
      <c r="K132" s="185"/>
      <c r="L132" s="186"/>
    </row>
    <row r="133" spans="2:12" x14ac:dyDescent="0.4">
      <c r="B133" s="139"/>
      <c r="C133" s="140"/>
      <c r="D133" s="172"/>
      <c r="E133" s="172"/>
      <c r="F133" s="172"/>
      <c r="G133" s="132"/>
      <c r="H133" s="132"/>
      <c r="I133" s="132"/>
      <c r="J133" s="185"/>
      <c r="K133" s="185"/>
      <c r="L133" s="186"/>
    </row>
    <row r="134" spans="2:12" x14ac:dyDescent="0.4">
      <c r="B134" s="139"/>
      <c r="C134" s="140"/>
      <c r="D134" s="172"/>
      <c r="E134" s="172"/>
      <c r="F134" s="172"/>
      <c r="G134" s="132"/>
      <c r="H134" s="132"/>
      <c r="I134" s="132"/>
      <c r="J134" s="185"/>
      <c r="K134" s="185"/>
      <c r="L134" s="186"/>
    </row>
    <row r="135" spans="2:12" x14ac:dyDescent="0.4">
      <c r="B135" s="139"/>
      <c r="C135" s="140"/>
      <c r="D135" s="172"/>
      <c r="E135" s="172"/>
      <c r="F135" s="172"/>
      <c r="G135" s="132"/>
      <c r="H135" s="132"/>
      <c r="I135" s="132"/>
      <c r="J135" s="185"/>
      <c r="K135" s="185"/>
      <c r="L135" s="186"/>
    </row>
    <row r="136" spans="2:12" x14ac:dyDescent="0.4">
      <c r="B136" s="139"/>
      <c r="C136" s="140"/>
      <c r="D136" s="172"/>
      <c r="E136" s="172"/>
      <c r="F136" s="172"/>
      <c r="G136" s="132"/>
      <c r="H136" s="132"/>
      <c r="I136" s="132"/>
      <c r="J136" s="185"/>
      <c r="K136" s="185"/>
      <c r="L136" s="186"/>
    </row>
    <row r="137" spans="2:12" x14ac:dyDescent="0.4">
      <c r="B137" s="139"/>
      <c r="C137" s="140"/>
      <c r="D137" s="172"/>
      <c r="E137" s="172"/>
      <c r="F137" s="172"/>
      <c r="G137" s="132"/>
      <c r="H137" s="132"/>
      <c r="I137" s="132"/>
      <c r="J137" s="185"/>
      <c r="K137" s="185"/>
      <c r="L137" s="186"/>
    </row>
    <row r="138" spans="2:12" x14ac:dyDescent="0.4">
      <c r="B138" s="139"/>
      <c r="C138" s="140"/>
      <c r="D138" s="172"/>
      <c r="E138" s="172"/>
      <c r="F138" s="172"/>
      <c r="G138" s="132"/>
      <c r="H138" s="132"/>
      <c r="I138" s="132"/>
      <c r="J138" s="185"/>
      <c r="K138" s="185"/>
      <c r="L138" s="186"/>
    </row>
    <row r="139" spans="2:12" x14ac:dyDescent="0.4">
      <c r="B139" s="139"/>
      <c r="C139" s="140"/>
      <c r="D139" s="172"/>
      <c r="E139" s="172"/>
      <c r="F139" s="172"/>
      <c r="G139" s="132"/>
      <c r="H139" s="132"/>
      <c r="I139" s="132"/>
      <c r="J139" s="185"/>
      <c r="K139" s="185"/>
      <c r="L139" s="186"/>
    </row>
    <row r="140" spans="2:12" x14ac:dyDescent="0.4">
      <c r="B140" s="139"/>
      <c r="C140" s="140"/>
      <c r="D140" s="172"/>
      <c r="E140" s="172"/>
      <c r="F140" s="172"/>
      <c r="G140" s="132"/>
      <c r="H140" s="132"/>
      <c r="I140" s="132"/>
      <c r="J140" s="185"/>
      <c r="K140" s="185"/>
      <c r="L140" s="186"/>
    </row>
    <row r="141" spans="2:12" x14ac:dyDescent="0.4">
      <c r="B141" s="139"/>
      <c r="C141" s="140"/>
      <c r="D141" s="172"/>
      <c r="E141" s="172"/>
      <c r="F141" s="172"/>
      <c r="G141" s="132"/>
      <c r="H141" s="132"/>
      <c r="I141" s="132"/>
      <c r="J141" s="185"/>
      <c r="K141" s="185"/>
      <c r="L141" s="186"/>
    </row>
    <row r="142" spans="2:12" x14ac:dyDescent="0.4">
      <c r="B142" s="139"/>
      <c r="C142" s="140"/>
      <c r="D142" s="172"/>
      <c r="E142" s="172"/>
      <c r="F142" s="172"/>
      <c r="G142" s="132"/>
      <c r="H142" s="132"/>
      <c r="I142" s="132"/>
      <c r="J142" s="185"/>
      <c r="K142" s="185"/>
      <c r="L142" s="186"/>
    </row>
    <row r="143" spans="2:12" x14ac:dyDescent="0.4">
      <c r="B143" s="139"/>
      <c r="C143" s="140"/>
      <c r="D143" s="172"/>
      <c r="E143" s="172"/>
      <c r="F143" s="172"/>
      <c r="G143" s="132"/>
      <c r="H143" s="132"/>
      <c r="I143" s="132"/>
      <c r="J143" s="185"/>
      <c r="K143" s="185"/>
      <c r="L143" s="186"/>
    </row>
    <row r="144" spans="2:12" x14ac:dyDescent="0.4">
      <c r="B144" s="139"/>
      <c r="C144" s="140"/>
      <c r="D144" s="172"/>
      <c r="E144" s="172"/>
      <c r="F144" s="172"/>
      <c r="G144" s="132"/>
      <c r="H144" s="132"/>
      <c r="I144" s="132"/>
      <c r="J144" s="185"/>
      <c r="K144" s="185"/>
      <c r="L144" s="186"/>
    </row>
    <row r="145" spans="2:12" x14ac:dyDescent="0.4">
      <c r="B145" s="139"/>
      <c r="C145" s="140"/>
      <c r="D145" s="172"/>
      <c r="E145" s="172"/>
      <c r="F145" s="172"/>
      <c r="G145" s="132"/>
      <c r="H145" s="132"/>
      <c r="I145" s="132"/>
      <c r="J145" s="185"/>
      <c r="K145" s="185"/>
      <c r="L145" s="186"/>
    </row>
    <row r="146" spans="2:12" x14ac:dyDescent="0.4">
      <c r="B146" s="139"/>
      <c r="C146" s="140"/>
      <c r="D146" s="172"/>
      <c r="E146" s="172"/>
      <c r="F146" s="172"/>
      <c r="G146" s="132"/>
      <c r="H146" s="132"/>
      <c r="I146" s="132"/>
      <c r="J146" s="185"/>
      <c r="K146" s="185"/>
      <c r="L146" s="186"/>
    </row>
    <row r="147" spans="2:12" x14ac:dyDescent="0.4">
      <c r="B147" s="139"/>
      <c r="C147" s="140"/>
      <c r="D147" s="172"/>
      <c r="E147" s="172"/>
      <c r="F147" s="172"/>
      <c r="G147" s="132"/>
      <c r="H147" s="132"/>
      <c r="I147" s="132"/>
      <c r="J147" s="185"/>
      <c r="K147" s="185"/>
      <c r="L147" s="186"/>
    </row>
    <row r="148" spans="2:12" x14ac:dyDescent="0.4">
      <c r="B148" s="139"/>
      <c r="C148" s="140"/>
      <c r="D148" s="172"/>
      <c r="E148" s="172"/>
      <c r="F148" s="172"/>
      <c r="G148" s="132"/>
      <c r="H148" s="132"/>
      <c r="I148" s="132"/>
      <c r="J148" s="185"/>
      <c r="K148" s="185"/>
      <c r="L148" s="186"/>
    </row>
    <row r="149" spans="2:12" x14ac:dyDescent="0.4">
      <c r="B149" s="139"/>
      <c r="C149" s="140"/>
      <c r="D149" s="172"/>
      <c r="E149" s="172"/>
      <c r="F149" s="172"/>
      <c r="G149" s="132"/>
      <c r="H149" s="132"/>
      <c r="I149" s="132"/>
      <c r="J149" s="185"/>
      <c r="K149" s="185"/>
      <c r="L149" s="186"/>
    </row>
    <row r="150" spans="2:12" x14ac:dyDescent="0.4">
      <c r="B150" s="139"/>
      <c r="C150" s="140"/>
      <c r="D150" s="172"/>
      <c r="E150" s="172"/>
      <c r="F150" s="172"/>
      <c r="G150" s="132"/>
      <c r="H150" s="132"/>
      <c r="I150" s="132"/>
      <c r="J150" s="185"/>
      <c r="K150" s="185"/>
      <c r="L150" s="186"/>
    </row>
    <row r="151" spans="2:12" x14ac:dyDescent="0.4">
      <c r="B151" s="139"/>
      <c r="C151" s="140"/>
      <c r="D151" s="172"/>
      <c r="E151" s="172"/>
      <c r="F151" s="172"/>
      <c r="G151" s="132"/>
      <c r="H151" s="132"/>
      <c r="I151" s="132"/>
      <c r="J151" s="185"/>
      <c r="K151" s="185"/>
      <c r="L151" s="186"/>
    </row>
    <row r="152" spans="2:12" x14ac:dyDescent="0.4">
      <c r="B152" s="139"/>
      <c r="C152" s="140"/>
      <c r="D152" s="172"/>
      <c r="E152" s="172"/>
      <c r="F152" s="172"/>
      <c r="G152" s="132"/>
      <c r="H152" s="132"/>
      <c r="I152" s="132"/>
      <c r="J152" s="185"/>
      <c r="K152" s="185"/>
      <c r="L152" s="186"/>
    </row>
    <row r="153" spans="2:12" x14ac:dyDescent="0.4">
      <c r="B153" s="139"/>
      <c r="C153" s="140"/>
      <c r="D153" s="172"/>
      <c r="E153" s="172"/>
      <c r="F153" s="172"/>
      <c r="G153" s="132"/>
      <c r="H153" s="132"/>
      <c r="I153" s="132"/>
      <c r="J153" s="185"/>
      <c r="K153" s="185"/>
      <c r="L153" s="186"/>
    </row>
    <row r="154" spans="2:12" x14ac:dyDescent="0.4">
      <c r="B154" s="139"/>
      <c r="C154" s="140"/>
      <c r="D154" s="172"/>
      <c r="E154" s="172"/>
      <c r="F154" s="172"/>
      <c r="G154" s="132"/>
      <c r="H154" s="132"/>
      <c r="I154" s="132"/>
      <c r="J154" s="185"/>
      <c r="K154" s="185"/>
      <c r="L154" s="186"/>
    </row>
    <row r="155" spans="2:12" x14ac:dyDescent="0.4">
      <c r="B155" s="139"/>
      <c r="C155" s="140"/>
      <c r="D155" s="172"/>
      <c r="E155" s="172"/>
      <c r="F155" s="172"/>
      <c r="G155" s="132"/>
      <c r="H155" s="132"/>
      <c r="I155" s="132"/>
      <c r="J155" s="185"/>
      <c r="K155" s="185"/>
      <c r="L155" s="186"/>
    </row>
    <row r="156" spans="2:12" x14ac:dyDescent="0.4">
      <c r="B156" s="139"/>
      <c r="C156" s="140"/>
      <c r="D156" s="172"/>
      <c r="E156" s="172"/>
      <c r="F156" s="172"/>
      <c r="G156" s="132"/>
      <c r="H156" s="132"/>
      <c r="I156" s="132"/>
      <c r="J156" s="185"/>
      <c r="K156" s="185"/>
      <c r="L156" s="186"/>
    </row>
    <row r="157" spans="2:12" x14ac:dyDescent="0.4">
      <c r="B157" s="139"/>
      <c r="C157" s="140"/>
      <c r="D157" s="172"/>
      <c r="E157" s="172"/>
      <c r="F157" s="172"/>
      <c r="G157" s="132"/>
      <c r="H157" s="132"/>
      <c r="I157" s="132"/>
      <c r="J157" s="185"/>
      <c r="K157" s="185"/>
      <c r="L157" s="186"/>
    </row>
    <row r="158" spans="2:12" x14ac:dyDescent="0.4">
      <c r="B158" s="139"/>
      <c r="C158" s="140"/>
      <c r="D158" s="172"/>
      <c r="E158" s="172"/>
      <c r="F158" s="172"/>
      <c r="G158" s="132"/>
      <c r="H158" s="132"/>
      <c r="I158" s="132"/>
      <c r="J158" s="185"/>
      <c r="K158" s="185"/>
      <c r="L158" s="186"/>
    </row>
    <row r="159" spans="2:12" x14ac:dyDescent="0.4">
      <c r="B159" s="139"/>
      <c r="C159" s="140"/>
      <c r="D159" s="172"/>
      <c r="E159" s="172"/>
      <c r="F159" s="172"/>
      <c r="G159" s="132"/>
      <c r="H159" s="132"/>
      <c r="I159" s="132"/>
      <c r="J159" s="185"/>
      <c r="K159" s="185"/>
      <c r="L159" s="186"/>
    </row>
    <row r="160" spans="2:12" x14ac:dyDescent="0.4">
      <c r="B160" s="139"/>
      <c r="C160" s="140"/>
      <c r="D160" s="172"/>
      <c r="E160" s="172"/>
      <c r="F160" s="172"/>
      <c r="G160" s="132"/>
      <c r="H160" s="132"/>
      <c r="I160" s="132"/>
      <c r="J160" s="185"/>
      <c r="K160" s="185"/>
      <c r="L160" s="186"/>
    </row>
    <row r="161" spans="2:12" x14ac:dyDescent="0.4">
      <c r="B161" s="139"/>
      <c r="C161" s="140"/>
      <c r="D161" s="172"/>
      <c r="E161" s="172"/>
      <c r="F161" s="172"/>
      <c r="G161" s="132"/>
      <c r="H161" s="132"/>
      <c r="I161" s="132"/>
      <c r="J161" s="185"/>
      <c r="K161" s="185"/>
      <c r="L161" s="186"/>
    </row>
    <row r="162" spans="2:12" x14ac:dyDescent="0.4">
      <c r="B162" s="139"/>
      <c r="C162" s="140"/>
      <c r="D162" s="172"/>
      <c r="E162" s="172"/>
      <c r="F162" s="172"/>
      <c r="G162" s="132"/>
      <c r="H162" s="132"/>
      <c r="I162" s="132"/>
      <c r="J162" s="185"/>
      <c r="K162" s="185"/>
      <c r="L162" s="186"/>
    </row>
    <row r="163" spans="2:12" x14ac:dyDescent="0.4">
      <c r="B163" s="139"/>
      <c r="C163" s="140"/>
      <c r="D163" s="172"/>
      <c r="E163" s="172"/>
      <c r="F163" s="172"/>
      <c r="G163" s="132"/>
      <c r="H163" s="132"/>
      <c r="I163" s="132"/>
      <c r="J163" s="185"/>
      <c r="K163" s="185"/>
      <c r="L163" s="186"/>
    </row>
    <row r="164" spans="2:12" x14ac:dyDescent="0.4">
      <c r="B164" s="139"/>
      <c r="C164" s="140"/>
      <c r="D164" s="172"/>
      <c r="E164" s="172"/>
      <c r="F164" s="172"/>
      <c r="G164" s="132"/>
      <c r="H164" s="132"/>
      <c r="I164" s="132"/>
      <c r="J164" s="185"/>
      <c r="K164" s="185"/>
      <c r="L164" s="186"/>
    </row>
    <row r="165" spans="2:12" x14ac:dyDescent="0.4">
      <c r="B165" s="139"/>
      <c r="C165" s="140"/>
      <c r="D165" s="172"/>
      <c r="E165" s="172"/>
      <c r="F165" s="172"/>
      <c r="G165" s="132"/>
      <c r="H165" s="132"/>
      <c r="I165" s="132"/>
      <c r="J165" s="185"/>
      <c r="K165" s="185"/>
      <c r="L165" s="186"/>
    </row>
    <row r="166" spans="2:12" x14ac:dyDescent="0.4">
      <c r="B166" s="139"/>
      <c r="C166" s="140"/>
      <c r="D166" s="172"/>
      <c r="E166" s="172"/>
      <c r="F166" s="172"/>
      <c r="G166" s="132"/>
      <c r="H166" s="132"/>
      <c r="I166" s="132"/>
      <c r="J166" s="185"/>
      <c r="K166" s="185"/>
      <c r="L166" s="186"/>
    </row>
    <row r="167" spans="2:12" x14ac:dyDescent="0.4">
      <c r="B167" s="139"/>
      <c r="C167" s="140"/>
      <c r="D167" s="172"/>
      <c r="E167" s="172"/>
      <c r="F167" s="172"/>
      <c r="G167" s="132"/>
      <c r="H167" s="132"/>
      <c r="I167" s="132"/>
      <c r="J167" s="185"/>
      <c r="K167" s="185"/>
      <c r="L167" s="186"/>
    </row>
    <row r="168" spans="2:12" x14ac:dyDescent="0.4">
      <c r="B168" s="139"/>
      <c r="C168" s="140"/>
      <c r="D168" s="172"/>
      <c r="E168" s="172"/>
      <c r="F168" s="172"/>
      <c r="G168" s="132"/>
      <c r="H168" s="132"/>
      <c r="I168" s="132"/>
      <c r="J168" s="185"/>
      <c r="K168" s="185"/>
      <c r="L168" s="186"/>
    </row>
    <row r="169" spans="2:12" x14ac:dyDescent="0.4">
      <c r="B169" s="139"/>
      <c r="C169" s="140"/>
      <c r="D169" s="172"/>
      <c r="E169" s="172"/>
      <c r="F169" s="172"/>
      <c r="G169" s="132"/>
      <c r="H169" s="132"/>
      <c r="I169" s="132"/>
      <c r="J169" s="185"/>
      <c r="K169" s="185"/>
      <c r="L169" s="186"/>
    </row>
    <row r="170" spans="2:12" x14ac:dyDescent="0.4">
      <c r="B170" s="139"/>
      <c r="C170" s="140"/>
      <c r="D170" s="172"/>
      <c r="E170" s="172"/>
      <c r="F170" s="172"/>
      <c r="G170" s="132"/>
      <c r="H170" s="132"/>
      <c r="I170" s="132"/>
      <c r="J170" s="185"/>
      <c r="K170" s="185"/>
      <c r="L170" s="186"/>
    </row>
    <row r="171" spans="2:12" x14ac:dyDescent="0.4">
      <c r="B171" s="139"/>
      <c r="C171" s="140"/>
      <c r="D171" s="172"/>
      <c r="E171" s="172"/>
      <c r="F171" s="172"/>
      <c r="G171" s="132"/>
      <c r="H171" s="132"/>
      <c r="I171" s="132"/>
      <c r="J171" s="185"/>
      <c r="K171" s="185"/>
      <c r="L171" s="186"/>
    </row>
    <row r="172" spans="2:12" x14ac:dyDescent="0.4">
      <c r="B172" s="139"/>
      <c r="C172" s="140"/>
      <c r="D172" s="172"/>
      <c r="E172" s="172"/>
      <c r="F172" s="172"/>
      <c r="G172" s="132"/>
      <c r="H172" s="132"/>
      <c r="I172" s="132"/>
      <c r="J172" s="185"/>
      <c r="K172" s="185"/>
      <c r="L172" s="186"/>
    </row>
    <row r="173" spans="2:12" x14ac:dyDescent="0.4">
      <c r="B173" s="139"/>
      <c r="C173" s="140"/>
      <c r="D173" s="172"/>
      <c r="E173" s="172"/>
      <c r="F173" s="172"/>
      <c r="G173" s="132"/>
      <c r="H173" s="132"/>
      <c r="I173" s="132"/>
      <c r="J173" s="185"/>
      <c r="K173" s="185"/>
      <c r="L173" s="186"/>
    </row>
    <row r="174" spans="2:12" x14ac:dyDescent="0.4">
      <c r="B174" s="139"/>
      <c r="C174" s="140"/>
      <c r="D174" s="172"/>
      <c r="E174" s="172"/>
      <c r="F174" s="172"/>
      <c r="G174" s="132"/>
      <c r="H174" s="132"/>
      <c r="I174" s="132"/>
      <c r="J174" s="185"/>
      <c r="K174" s="185"/>
      <c r="L174" s="186"/>
    </row>
    <row r="175" spans="2:12" x14ac:dyDescent="0.4">
      <c r="B175" s="139"/>
      <c r="C175" s="140"/>
      <c r="D175" s="172"/>
      <c r="E175" s="172"/>
      <c r="F175" s="172"/>
      <c r="G175" s="132"/>
      <c r="H175" s="132"/>
      <c r="I175" s="132"/>
      <c r="J175" s="185"/>
      <c r="K175" s="185"/>
      <c r="L175" s="186"/>
    </row>
    <row r="176" spans="2:12" x14ac:dyDescent="0.4">
      <c r="B176" s="139"/>
      <c r="C176" s="140"/>
      <c r="D176" s="172"/>
      <c r="E176" s="172"/>
      <c r="F176" s="172"/>
      <c r="G176" s="132"/>
      <c r="H176" s="132"/>
      <c r="I176" s="132"/>
      <c r="J176" s="185"/>
      <c r="K176" s="185"/>
      <c r="L176" s="186"/>
    </row>
    <row r="177" spans="2:12" x14ac:dyDescent="0.4">
      <c r="B177" s="139"/>
      <c r="C177" s="140"/>
      <c r="D177" s="172"/>
      <c r="E177" s="172"/>
      <c r="F177" s="172"/>
      <c r="G177" s="132"/>
      <c r="H177" s="132"/>
      <c r="I177" s="132"/>
      <c r="J177" s="185"/>
      <c r="K177" s="185"/>
      <c r="L177" s="186"/>
    </row>
    <row r="178" spans="2:12" x14ac:dyDescent="0.4">
      <c r="B178" s="139"/>
      <c r="C178" s="140"/>
      <c r="D178" s="172"/>
      <c r="E178" s="172"/>
      <c r="F178" s="172"/>
      <c r="G178" s="132"/>
      <c r="H178" s="132"/>
      <c r="I178" s="132"/>
      <c r="J178" s="185"/>
      <c r="K178" s="185"/>
      <c r="L178" s="186"/>
    </row>
    <row r="179" spans="2:12" x14ac:dyDescent="0.4">
      <c r="B179" s="139"/>
      <c r="C179" s="140"/>
      <c r="D179" s="172"/>
      <c r="E179" s="172"/>
      <c r="F179" s="172"/>
      <c r="G179" s="132"/>
      <c r="H179" s="132"/>
      <c r="I179" s="132"/>
      <c r="J179" s="185"/>
      <c r="K179" s="185"/>
      <c r="L179" s="186"/>
    </row>
    <row r="180" spans="2:12" x14ac:dyDescent="0.4">
      <c r="B180" s="139"/>
      <c r="C180" s="140"/>
      <c r="D180" s="172"/>
      <c r="E180" s="172"/>
      <c r="F180" s="172"/>
      <c r="G180" s="132"/>
      <c r="H180" s="132"/>
      <c r="I180" s="132"/>
      <c r="J180" s="185"/>
      <c r="K180" s="185"/>
      <c r="L180" s="186"/>
    </row>
    <row r="181" spans="2:12" x14ac:dyDescent="0.4">
      <c r="B181" s="139"/>
      <c r="C181" s="140"/>
      <c r="D181" s="172"/>
      <c r="E181" s="172"/>
      <c r="F181" s="172"/>
      <c r="G181" s="132"/>
      <c r="H181" s="132"/>
      <c r="I181" s="132"/>
      <c r="J181" s="185"/>
      <c r="K181" s="185"/>
      <c r="L181" s="186"/>
    </row>
    <row r="182" spans="2:12" x14ac:dyDescent="0.4">
      <c r="B182" s="139"/>
      <c r="C182" s="140"/>
      <c r="D182" s="172"/>
      <c r="E182" s="172"/>
      <c r="F182" s="172"/>
      <c r="G182" s="132"/>
      <c r="H182" s="132"/>
      <c r="I182" s="132"/>
      <c r="J182" s="185"/>
      <c r="K182" s="185"/>
      <c r="L182" s="186"/>
    </row>
    <row r="183" spans="2:12" x14ac:dyDescent="0.4">
      <c r="B183" s="139"/>
      <c r="C183" s="140"/>
      <c r="D183" s="172"/>
      <c r="E183" s="172"/>
      <c r="F183" s="172"/>
      <c r="G183" s="132"/>
      <c r="H183" s="132"/>
      <c r="I183" s="132"/>
      <c r="J183" s="185"/>
      <c r="K183" s="185"/>
      <c r="L183" s="186"/>
    </row>
    <row r="184" spans="2:12" x14ac:dyDescent="0.4">
      <c r="B184" s="139"/>
      <c r="C184" s="140"/>
      <c r="D184" s="172"/>
      <c r="E184" s="172"/>
      <c r="F184" s="172"/>
      <c r="G184" s="132"/>
      <c r="H184" s="132"/>
      <c r="I184" s="132"/>
      <c r="J184" s="185"/>
      <c r="K184" s="185"/>
      <c r="L184" s="186"/>
    </row>
    <row r="185" spans="2:12" x14ac:dyDescent="0.4">
      <c r="B185" s="139"/>
      <c r="C185" s="140"/>
      <c r="D185" s="172"/>
      <c r="E185" s="172"/>
      <c r="F185" s="172"/>
      <c r="G185" s="132"/>
      <c r="H185" s="132"/>
      <c r="I185" s="132"/>
      <c r="J185" s="185"/>
      <c r="K185" s="185"/>
      <c r="L185" s="186"/>
    </row>
    <row r="186" spans="2:12" x14ac:dyDescent="0.4">
      <c r="B186" s="139"/>
      <c r="C186" s="140"/>
      <c r="D186" s="172"/>
      <c r="E186" s="172"/>
      <c r="F186" s="172"/>
      <c r="G186" s="132"/>
      <c r="H186" s="132"/>
      <c r="I186" s="132"/>
      <c r="J186" s="185"/>
      <c r="K186" s="185"/>
      <c r="L186" s="186"/>
    </row>
    <row r="187" spans="2:12" x14ac:dyDescent="0.4">
      <c r="B187" s="139"/>
      <c r="C187" s="140"/>
      <c r="D187" s="172"/>
      <c r="E187" s="172"/>
      <c r="F187" s="172"/>
      <c r="G187" s="132"/>
      <c r="H187" s="132"/>
      <c r="I187" s="132"/>
      <c r="J187" s="185"/>
      <c r="K187" s="185"/>
      <c r="L187" s="186"/>
    </row>
    <row r="188" spans="2:12" x14ac:dyDescent="0.4">
      <c r="B188" s="139"/>
      <c r="C188" s="140"/>
      <c r="D188" s="172"/>
      <c r="E188" s="172"/>
      <c r="F188" s="172"/>
      <c r="G188" s="132"/>
      <c r="H188" s="132"/>
      <c r="I188" s="132"/>
      <c r="J188" s="185"/>
      <c r="K188" s="185"/>
      <c r="L188" s="186"/>
    </row>
    <row r="189" spans="2:12" x14ac:dyDescent="0.4">
      <c r="B189" s="139"/>
      <c r="C189" s="140"/>
      <c r="D189" s="172"/>
      <c r="E189" s="172"/>
      <c r="F189" s="172"/>
      <c r="G189" s="132"/>
      <c r="H189" s="132"/>
      <c r="I189" s="132"/>
      <c r="J189" s="185"/>
      <c r="K189" s="185"/>
      <c r="L189" s="186"/>
    </row>
    <row r="190" spans="2:12" x14ac:dyDescent="0.4">
      <c r="B190" s="139"/>
      <c r="C190" s="140"/>
      <c r="D190" s="172"/>
      <c r="E190" s="172"/>
      <c r="F190" s="172"/>
      <c r="G190" s="132"/>
      <c r="H190" s="132"/>
      <c r="I190" s="132"/>
      <c r="J190" s="185"/>
      <c r="K190" s="185"/>
      <c r="L190" s="186"/>
    </row>
    <row r="191" spans="2:12" x14ac:dyDescent="0.4">
      <c r="B191" s="139"/>
      <c r="C191" s="140"/>
      <c r="D191" s="172"/>
      <c r="E191" s="172"/>
      <c r="F191" s="172"/>
      <c r="G191" s="132"/>
      <c r="H191" s="132"/>
      <c r="I191" s="132"/>
      <c r="J191" s="185"/>
      <c r="K191" s="185"/>
      <c r="L191" s="186"/>
    </row>
    <row r="192" spans="2:12" x14ac:dyDescent="0.4">
      <c r="B192" s="139"/>
      <c r="C192" s="140"/>
      <c r="D192" s="172"/>
      <c r="E192" s="172"/>
      <c r="F192" s="172"/>
      <c r="G192" s="132"/>
      <c r="H192" s="132"/>
      <c r="I192" s="132"/>
      <c r="J192" s="185"/>
      <c r="K192" s="185"/>
      <c r="L192" s="186"/>
    </row>
    <row r="193" spans="2:12" x14ac:dyDescent="0.4">
      <c r="B193" s="139"/>
      <c r="C193" s="140"/>
      <c r="D193" s="172"/>
      <c r="E193" s="172"/>
      <c r="F193" s="172"/>
      <c r="G193" s="132"/>
      <c r="H193" s="132"/>
      <c r="I193" s="132"/>
      <c r="J193" s="185"/>
      <c r="K193" s="185"/>
      <c r="L193" s="186"/>
    </row>
    <row r="194" spans="2:12" x14ac:dyDescent="0.4">
      <c r="B194" s="139"/>
      <c r="C194" s="140"/>
      <c r="D194" s="172"/>
      <c r="E194" s="172"/>
      <c r="F194" s="172"/>
      <c r="G194" s="132"/>
      <c r="H194" s="132"/>
      <c r="I194" s="132"/>
      <c r="J194" s="185"/>
      <c r="K194" s="185"/>
      <c r="L194" s="186"/>
    </row>
    <row r="195" spans="2:12" x14ac:dyDescent="0.4">
      <c r="B195" s="139"/>
      <c r="C195" s="140"/>
      <c r="D195" s="172"/>
      <c r="E195" s="172"/>
      <c r="F195" s="172"/>
      <c r="G195" s="132"/>
      <c r="H195" s="132"/>
      <c r="I195" s="132"/>
      <c r="J195" s="185"/>
      <c r="K195" s="185"/>
      <c r="L195" s="186"/>
    </row>
    <row r="196" spans="2:12" x14ac:dyDescent="0.4">
      <c r="B196" s="139"/>
      <c r="C196" s="140"/>
      <c r="D196" s="172"/>
      <c r="E196" s="172"/>
      <c r="F196" s="172"/>
      <c r="G196" s="132"/>
      <c r="H196" s="132"/>
      <c r="I196" s="132"/>
      <c r="J196" s="185"/>
      <c r="K196" s="185"/>
      <c r="L196" s="186"/>
    </row>
    <row r="197" spans="2:12" x14ac:dyDescent="0.4">
      <c r="B197" s="139"/>
      <c r="C197" s="140"/>
      <c r="D197" s="172"/>
      <c r="E197" s="172"/>
      <c r="F197" s="172"/>
      <c r="G197" s="132"/>
      <c r="H197" s="132"/>
      <c r="I197" s="132"/>
      <c r="J197" s="185"/>
      <c r="K197" s="185"/>
      <c r="L197" s="186"/>
    </row>
    <row r="198" spans="2:12" x14ac:dyDescent="0.4">
      <c r="B198" s="139"/>
      <c r="C198" s="140"/>
      <c r="D198" s="172"/>
      <c r="E198" s="172"/>
      <c r="F198" s="172"/>
      <c r="G198" s="132"/>
      <c r="H198" s="132"/>
      <c r="I198" s="132"/>
      <c r="J198" s="185"/>
      <c r="K198" s="185"/>
      <c r="L198" s="186"/>
    </row>
    <row r="199" spans="2:12" x14ac:dyDescent="0.4">
      <c r="B199" s="139"/>
      <c r="C199" s="140"/>
      <c r="D199" s="172"/>
      <c r="E199" s="172"/>
      <c r="F199" s="172"/>
      <c r="G199" s="132"/>
      <c r="H199" s="132"/>
      <c r="I199" s="132"/>
      <c r="J199" s="185"/>
      <c r="K199" s="185"/>
      <c r="L199" s="186"/>
    </row>
    <row r="200" spans="2:12" x14ac:dyDescent="0.4">
      <c r="B200" s="139"/>
      <c r="C200" s="140"/>
      <c r="D200" s="172"/>
      <c r="E200" s="172"/>
      <c r="F200" s="172"/>
      <c r="G200" s="132"/>
      <c r="H200" s="132"/>
      <c r="I200" s="132"/>
      <c r="J200" s="185"/>
      <c r="K200" s="185"/>
      <c r="L200" s="186"/>
    </row>
    <row r="201" spans="2:12" x14ac:dyDescent="0.4">
      <c r="B201" s="139"/>
      <c r="C201" s="140"/>
      <c r="D201" s="172"/>
      <c r="E201" s="172"/>
      <c r="F201" s="172"/>
      <c r="G201" s="132"/>
      <c r="H201" s="132"/>
      <c r="I201" s="132"/>
      <c r="J201" s="185"/>
      <c r="K201" s="185"/>
      <c r="L201" s="186"/>
    </row>
    <row r="202" spans="2:12" x14ac:dyDescent="0.4">
      <c r="B202" s="139"/>
      <c r="C202" s="140"/>
      <c r="D202" s="172"/>
      <c r="E202" s="172"/>
      <c r="F202" s="172"/>
      <c r="G202" s="132"/>
      <c r="H202" s="132"/>
      <c r="I202" s="132"/>
      <c r="J202" s="185"/>
      <c r="K202" s="185"/>
      <c r="L202" s="186"/>
    </row>
    <row r="203" spans="2:12" x14ac:dyDescent="0.4">
      <c r="B203" s="139"/>
      <c r="C203" s="140"/>
      <c r="D203" s="172"/>
      <c r="E203" s="172"/>
      <c r="F203" s="172"/>
      <c r="G203" s="132"/>
      <c r="H203" s="132"/>
      <c r="I203" s="132"/>
      <c r="J203" s="185"/>
      <c r="K203" s="185"/>
      <c r="L203" s="186"/>
    </row>
    <row r="204" spans="2:12" x14ac:dyDescent="0.4">
      <c r="B204" s="139"/>
      <c r="C204" s="140"/>
      <c r="D204" s="172"/>
      <c r="E204" s="172"/>
      <c r="F204" s="172"/>
      <c r="G204" s="132"/>
      <c r="H204" s="132"/>
      <c r="I204" s="132"/>
      <c r="J204" s="185"/>
      <c r="K204" s="185"/>
      <c r="L204" s="186"/>
    </row>
    <row r="205" spans="2:12" x14ac:dyDescent="0.4">
      <c r="B205" s="139"/>
      <c r="C205" s="140"/>
      <c r="D205" s="172"/>
      <c r="E205" s="172"/>
      <c r="F205" s="172"/>
      <c r="G205" s="132"/>
      <c r="H205" s="132"/>
      <c r="I205" s="132"/>
      <c r="J205" s="185"/>
      <c r="K205" s="185"/>
      <c r="L205" s="186"/>
    </row>
    <row r="206" spans="2:12" x14ac:dyDescent="0.4">
      <c r="B206" s="139"/>
      <c r="C206" s="140"/>
      <c r="D206" s="172"/>
      <c r="E206" s="172"/>
      <c r="F206" s="172"/>
      <c r="G206" s="132"/>
      <c r="H206" s="132"/>
      <c r="I206" s="132"/>
      <c r="J206" s="185"/>
      <c r="K206" s="185"/>
      <c r="L206" s="186"/>
    </row>
    <row r="207" spans="2:12" x14ac:dyDescent="0.4">
      <c r="B207" s="139"/>
      <c r="C207" s="140"/>
      <c r="D207" s="172"/>
      <c r="E207" s="172"/>
      <c r="F207" s="172"/>
      <c r="G207" s="132"/>
      <c r="H207" s="132"/>
      <c r="I207" s="132"/>
      <c r="J207" s="185"/>
      <c r="K207" s="185"/>
      <c r="L207" s="186"/>
    </row>
    <row r="208" spans="2:12" x14ac:dyDescent="0.4">
      <c r="B208" s="139"/>
      <c r="C208" s="140"/>
      <c r="D208" s="172"/>
      <c r="E208" s="172"/>
      <c r="F208" s="172"/>
      <c r="G208" s="132"/>
      <c r="H208" s="132"/>
      <c r="I208" s="132"/>
      <c r="J208" s="185"/>
      <c r="K208" s="185"/>
      <c r="L208" s="186"/>
    </row>
    <row r="209" spans="2:12" x14ac:dyDescent="0.4">
      <c r="B209" s="139"/>
      <c r="C209" s="140"/>
      <c r="D209" s="172"/>
      <c r="E209" s="172"/>
      <c r="F209" s="172"/>
      <c r="G209" s="132"/>
      <c r="H209" s="132"/>
      <c r="I209" s="132"/>
      <c r="J209" s="185"/>
      <c r="K209" s="185"/>
      <c r="L209" s="186"/>
    </row>
    <row r="210" spans="2:12" x14ac:dyDescent="0.4">
      <c r="B210" s="139"/>
      <c r="C210" s="140"/>
      <c r="D210" s="172"/>
      <c r="E210" s="172"/>
      <c r="F210" s="172"/>
      <c r="G210" s="132"/>
      <c r="H210" s="132"/>
      <c r="I210" s="132"/>
      <c r="J210" s="185"/>
      <c r="K210" s="185"/>
      <c r="L210" s="186"/>
    </row>
    <row r="211" spans="2:12" x14ac:dyDescent="0.4">
      <c r="B211" s="139"/>
      <c r="C211" s="140"/>
      <c r="D211" s="172"/>
      <c r="E211" s="172"/>
      <c r="F211" s="172"/>
      <c r="G211" s="132"/>
      <c r="H211" s="132"/>
      <c r="I211" s="132"/>
      <c r="J211" s="185"/>
      <c r="K211" s="185"/>
      <c r="L211" s="186"/>
    </row>
    <row r="212" spans="2:12" x14ac:dyDescent="0.4">
      <c r="B212" s="139"/>
      <c r="C212" s="140"/>
      <c r="D212" s="172"/>
      <c r="E212" s="172"/>
      <c r="F212" s="172"/>
      <c r="G212" s="132"/>
      <c r="H212" s="132"/>
      <c r="I212" s="132"/>
      <c r="J212" s="185"/>
      <c r="K212" s="185"/>
      <c r="L212" s="186"/>
    </row>
    <row r="213" spans="2:12" x14ac:dyDescent="0.4">
      <c r="B213" s="139"/>
      <c r="C213" s="140"/>
      <c r="D213" s="172"/>
      <c r="E213" s="172"/>
      <c r="F213" s="172"/>
      <c r="G213" s="132"/>
      <c r="H213" s="132"/>
      <c r="I213" s="132"/>
      <c r="J213" s="185"/>
      <c r="K213" s="185"/>
      <c r="L213" s="186"/>
    </row>
    <row r="214" spans="2:12" x14ac:dyDescent="0.4">
      <c r="B214" s="139"/>
      <c r="C214" s="140"/>
      <c r="D214" s="172"/>
      <c r="E214" s="172"/>
      <c r="F214" s="172"/>
      <c r="G214" s="132"/>
      <c r="H214" s="132"/>
      <c r="I214" s="132"/>
      <c r="J214" s="185"/>
      <c r="K214" s="185"/>
      <c r="L214" s="186"/>
    </row>
    <row r="215" spans="2:12" x14ac:dyDescent="0.4">
      <c r="B215" s="139"/>
      <c r="C215" s="140"/>
      <c r="D215" s="172"/>
      <c r="E215" s="172"/>
      <c r="F215" s="172"/>
      <c r="G215" s="132"/>
      <c r="H215" s="132"/>
      <c r="I215" s="132"/>
      <c r="J215" s="185"/>
      <c r="K215" s="185"/>
      <c r="L215" s="186"/>
    </row>
    <row r="216" spans="2:12" x14ac:dyDescent="0.4">
      <c r="B216" s="139"/>
      <c r="C216" s="140"/>
      <c r="D216" s="172"/>
      <c r="E216" s="172"/>
      <c r="F216" s="172"/>
      <c r="G216" s="132"/>
      <c r="H216" s="132"/>
      <c r="I216" s="132"/>
      <c r="J216" s="185"/>
      <c r="K216" s="185"/>
      <c r="L216" s="186"/>
    </row>
    <row r="217" spans="2:12" x14ac:dyDescent="0.4">
      <c r="B217" s="139"/>
      <c r="C217" s="140"/>
      <c r="D217" s="172"/>
      <c r="E217" s="172"/>
      <c r="F217" s="172"/>
      <c r="G217" s="132"/>
      <c r="H217" s="132"/>
      <c r="I217" s="132"/>
      <c r="J217" s="185"/>
      <c r="K217" s="185"/>
      <c r="L217" s="186"/>
    </row>
    <row r="218" spans="2:12" x14ac:dyDescent="0.4">
      <c r="B218" s="139"/>
      <c r="C218" s="140"/>
      <c r="D218" s="172"/>
      <c r="E218" s="172"/>
      <c r="F218" s="172"/>
      <c r="G218" s="132"/>
      <c r="H218" s="132"/>
      <c r="I218" s="132"/>
      <c r="J218" s="185"/>
      <c r="K218" s="185"/>
      <c r="L218" s="186"/>
    </row>
    <row r="219" spans="2:12" x14ac:dyDescent="0.4">
      <c r="B219" s="139"/>
      <c r="C219" s="140"/>
      <c r="D219" s="172"/>
      <c r="E219" s="172"/>
      <c r="F219" s="172"/>
      <c r="G219" s="132"/>
      <c r="H219" s="132"/>
      <c r="I219" s="132"/>
      <c r="J219" s="185"/>
      <c r="K219" s="185"/>
      <c r="L219" s="186"/>
    </row>
    <row r="220" spans="2:12" x14ac:dyDescent="0.4">
      <c r="B220" s="139"/>
      <c r="C220" s="140"/>
      <c r="D220" s="172"/>
      <c r="E220" s="172"/>
      <c r="F220" s="172"/>
      <c r="G220" s="132"/>
      <c r="H220" s="132"/>
      <c r="I220" s="132"/>
      <c r="J220" s="185"/>
      <c r="K220" s="185"/>
      <c r="L220" s="186"/>
    </row>
    <row r="221" spans="2:12" x14ac:dyDescent="0.4">
      <c r="B221" s="139"/>
      <c r="C221" s="140"/>
      <c r="D221" s="172"/>
      <c r="E221" s="172"/>
      <c r="F221" s="172"/>
      <c r="G221" s="132"/>
      <c r="H221" s="132"/>
      <c r="I221" s="132"/>
      <c r="J221" s="185"/>
      <c r="K221" s="185"/>
      <c r="L221" s="186"/>
    </row>
    <row r="222" spans="2:12" x14ac:dyDescent="0.4">
      <c r="B222" s="139"/>
      <c r="C222" s="140"/>
      <c r="D222" s="172"/>
      <c r="E222" s="172"/>
      <c r="F222" s="172"/>
      <c r="G222" s="132"/>
      <c r="H222" s="132"/>
      <c r="I222" s="132"/>
      <c r="J222" s="185"/>
      <c r="K222" s="185"/>
      <c r="L222" s="186"/>
    </row>
    <row r="223" spans="2:12" x14ac:dyDescent="0.4">
      <c r="B223" s="139"/>
      <c r="C223" s="140"/>
      <c r="D223" s="172"/>
      <c r="E223" s="172"/>
      <c r="F223" s="172"/>
      <c r="G223" s="132"/>
      <c r="H223" s="132"/>
      <c r="I223" s="132"/>
      <c r="J223" s="185"/>
      <c r="K223" s="185"/>
      <c r="L223" s="186"/>
    </row>
    <row r="224" spans="2:12" x14ac:dyDescent="0.4">
      <c r="B224" s="139"/>
      <c r="C224" s="140"/>
      <c r="D224" s="172"/>
      <c r="E224" s="172"/>
      <c r="F224" s="172"/>
      <c r="G224" s="132"/>
      <c r="H224" s="132"/>
      <c r="I224" s="132"/>
      <c r="J224" s="185"/>
      <c r="K224" s="185"/>
      <c r="L224" s="186"/>
    </row>
    <row r="225" spans="2:12" x14ac:dyDescent="0.4">
      <c r="B225" s="139"/>
      <c r="C225" s="140"/>
      <c r="D225" s="172"/>
      <c r="E225" s="172"/>
      <c r="F225" s="172"/>
      <c r="G225" s="132"/>
      <c r="H225" s="132"/>
      <c r="I225" s="132"/>
      <c r="J225" s="185"/>
      <c r="K225" s="185"/>
      <c r="L225" s="186"/>
    </row>
    <row r="226" spans="2:12" x14ac:dyDescent="0.4">
      <c r="B226" s="139"/>
      <c r="C226" s="140"/>
      <c r="D226" s="172"/>
      <c r="E226" s="172"/>
      <c r="F226" s="172"/>
      <c r="G226" s="132"/>
      <c r="H226" s="132"/>
      <c r="I226" s="132"/>
      <c r="J226" s="185"/>
      <c r="K226" s="185"/>
      <c r="L226" s="186"/>
    </row>
    <row r="227" spans="2:12" x14ac:dyDescent="0.4">
      <c r="B227" s="139"/>
      <c r="C227" s="140"/>
      <c r="D227" s="172"/>
      <c r="E227" s="172"/>
      <c r="F227" s="172"/>
      <c r="G227" s="132"/>
      <c r="H227" s="132"/>
      <c r="I227" s="132"/>
      <c r="J227" s="185"/>
      <c r="K227" s="185"/>
      <c r="L227" s="186"/>
    </row>
    <row r="228" spans="2:12" x14ac:dyDescent="0.4">
      <c r="B228" s="139"/>
      <c r="C228" s="140"/>
      <c r="D228" s="172"/>
      <c r="E228" s="172"/>
      <c r="F228" s="172"/>
      <c r="G228" s="132"/>
      <c r="H228" s="132"/>
      <c r="I228" s="132"/>
      <c r="J228" s="185"/>
      <c r="K228" s="185"/>
      <c r="L228" s="186"/>
    </row>
    <row r="229" spans="2:12" x14ac:dyDescent="0.4">
      <c r="B229" s="139"/>
      <c r="C229" s="140"/>
      <c r="D229" s="172"/>
      <c r="E229" s="172"/>
      <c r="F229" s="172"/>
      <c r="G229" s="132"/>
      <c r="H229" s="132"/>
      <c r="I229" s="132"/>
      <c r="J229" s="185"/>
      <c r="K229" s="185"/>
      <c r="L229" s="186"/>
    </row>
    <row r="230" spans="2:12" x14ac:dyDescent="0.4">
      <c r="B230" s="139"/>
      <c r="C230" s="140"/>
      <c r="D230" s="172"/>
      <c r="E230" s="172"/>
      <c r="F230" s="172"/>
      <c r="G230" s="132"/>
      <c r="H230" s="132"/>
      <c r="I230" s="132"/>
      <c r="J230" s="185"/>
      <c r="K230" s="185"/>
      <c r="L230" s="186"/>
    </row>
    <row r="231" spans="2:12" x14ac:dyDescent="0.4">
      <c r="B231" s="139"/>
      <c r="C231" s="140"/>
      <c r="D231" s="172"/>
      <c r="E231" s="172"/>
      <c r="F231" s="172"/>
      <c r="G231" s="132"/>
      <c r="H231" s="132"/>
      <c r="I231" s="132"/>
      <c r="J231" s="185"/>
      <c r="K231" s="185"/>
      <c r="L231" s="186"/>
    </row>
    <row r="232" spans="2:12" x14ac:dyDescent="0.4">
      <c r="B232" s="139"/>
      <c r="C232" s="140"/>
      <c r="D232" s="172"/>
      <c r="E232" s="172"/>
      <c r="F232" s="172"/>
      <c r="G232" s="132"/>
      <c r="H232" s="132"/>
      <c r="I232" s="132"/>
      <c r="J232" s="185"/>
      <c r="K232" s="185"/>
      <c r="L232" s="186"/>
    </row>
    <row r="233" spans="2:12" x14ac:dyDescent="0.4">
      <c r="B233" s="139"/>
      <c r="C233" s="140"/>
      <c r="D233" s="172"/>
      <c r="E233" s="172"/>
      <c r="F233" s="172"/>
      <c r="G233" s="132"/>
      <c r="H233" s="132"/>
      <c r="I233" s="132"/>
      <c r="J233" s="185"/>
      <c r="K233" s="185"/>
      <c r="L233" s="186"/>
    </row>
    <row r="234" spans="2:12" x14ac:dyDescent="0.4">
      <c r="B234" s="139"/>
      <c r="C234" s="140"/>
      <c r="D234" s="172"/>
      <c r="E234" s="172"/>
      <c r="F234" s="172"/>
      <c r="G234" s="132"/>
      <c r="H234" s="132"/>
      <c r="I234" s="132"/>
      <c r="J234" s="185"/>
      <c r="K234" s="185"/>
      <c r="L234" s="186"/>
    </row>
    <row r="235" spans="2:12" x14ac:dyDescent="0.4">
      <c r="B235" s="139"/>
      <c r="C235" s="140"/>
      <c r="D235" s="172"/>
      <c r="E235" s="172"/>
      <c r="F235" s="172"/>
      <c r="G235" s="132"/>
      <c r="H235" s="132"/>
      <c r="I235" s="132"/>
      <c r="J235" s="185"/>
      <c r="K235" s="185"/>
      <c r="L235" s="186"/>
    </row>
    <row r="236" spans="2:12" x14ac:dyDescent="0.4">
      <c r="B236" s="139"/>
      <c r="C236" s="140"/>
      <c r="D236" s="172"/>
      <c r="E236" s="172"/>
      <c r="F236" s="172"/>
      <c r="G236" s="132"/>
      <c r="H236" s="132"/>
      <c r="I236" s="132"/>
      <c r="J236" s="185"/>
      <c r="K236" s="185"/>
      <c r="L236" s="186"/>
    </row>
    <row r="237" spans="2:12" x14ac:dyDescent="0.4">
      <c r="B237" s="139"/>
      <c r="C237" s="140"/>
      <c r="D237" s="172"/>
      <c r="E237" s="172"/>
      <c r="F237" s="172"/>
      <c r="G237" s="132"/>
      <c r="H237" s="132"/>
      <c r="I237" s="132"/>
      <c r="J237" s="185"/>
      <c r="K237" s="185"/>
      <c r="L237" s="186"/>
    </row>
    <row r="238" spans="2:12" x14ac:dyDescent="0.4">
      <c r="B238" s="139"/>
      <c r="C238" s="140"/>
      <c r="D238" s="172"/>
      <c r="E238" s="172"/>
      <c r="F238" s="172"/>
      <c r="G238" s="132"/>
      <c r="H238" s="132"/>
      <c r="I238" s="132"/>
      <c r="J238" s="185"/>
      <c r="K238" s="185"/>
      <c r="L238" s="186"/>
    </row>
    <row r="239" spans="2:12" x14ac:dyDescent="0.4">
      <c r="B239" s="139"/>
      <c r="C239" s="140"/>
      <c r="D239" s="172"/>
      <c r="E239" s="172"/>
      <c r="F239" s="172"/>
      <c r="G239" s="132"/>
      <c r="H239" s="132"/>
      <c r="I239" s="132"/>
      <c r="J239" s="185"/>
      <c r="K239" s="185"/>
      <c r="L239" s="186"/>
    </row>
    <row r="240" spans="2:12" x14ac:dyDescent="0.4">
      <c r="B240" s="139"/>
      <c r="C240" s="140"/>
      <c r="D240" s="172"/>
      <c r="E240" s="172"/>
      <c r="F240" s="172"/>
      <c r="G240" s="132"/>
      <c r="H240" s="132"/>
      <c r="I240" s="132"/>
      <c r="J240" s="185"/>
      <c r="K240" s="185"/>
      <c r="L240" s="186"/>
    </row>
    <row r="241" spans="2:12" x14ac:dyDescent="0.4">
      <c r="B241" s="139"/>
      <c r="C241" s="140"/>
      <c r="D241" s="172"/>
      <c r="E241" s="172"/>
      <c r="F241" s="172"/>
      <c r="G241" s="132"/>
      <c r="H241" s="132"/>
      <c r="I241" s="132"/>
      <c r="J241" s="185"/>
      <c r="K241" s="185"/>
      <c r="L241" s="186"/>
    </row>
    <row r="242" spans="2:12" x14ac:dyDescent="0.4">
      <c r="B242" s="139"/>
      <c r="C242" s="140"/>
      <c r="D242" s="172"/>
      <c r="E242" s="172"/>
      <c r="F242" s="172"/>
      <c r="G242" s="132"/>
      <c r="H242" s="132"/>
      <c r="I242" s="132"/>
      <c r="J242" s="185"/>
      <c r="K242" s="185"/>
      <c r="L242" s="186"/>
    </row>
    <row r="243" spans="2:12" x14ac:dyDescent="0.4">
      <c r="B243" s="139"/>
      <c r="C243" s="140"/>
      <c r="D243" s="172"/>
      <c r="E243" s="172"/>
      <c r="F243" s="172"/>
      <c r="G243" s="132"/>
      <c r="H243" s="132"/>
      <c r="I243" s="132"/>
      <c r="J243" s="185"/>
      <c r="K243" s="185"/>
      <c r="L243" s="186"/>
    </row>
    <row r="244" spans="2:12" x14ac:dyDescent="0.4">
      <c r="B244" s="139"/>
      <c r="C244" s="140"/>
      <c r="D244" s="172"/>
      <c r="E244" s="172"/>
      <c r="F244" s="172"/>
      <c r="G244" s="132"/>
      <c r="H244" s="132"/>
      <c r="I244" s="132"/>
      <c r="J244" s="185"/>
      <c r="K244" s="185"/>
      <c r="L244" s="186"/>
    </row>
    <row r="245" spans="2:12" x14ac:dyDescent="0.4">
      <c r="B245" s="139"/>
      <c r="C245" s="140"/>
      <c r="D245" s="172"/>
      <c r="E245" s="172"/>
      <c r="F245" s="172"/>
      <c r="G245" s="132"/>
      <c r="H245" s="132"/>
      <c r="I245" s="132"/>
      <c r="J245" s="185"/>
      <c r="K245" s="185"/>
      <c r="L245" s="186"/>
    </row>
    <row r="246" spans="2:12" x14ac:dyDescent="0.4">
      <c r="B246" s="139"/>
      <c r="C246" s="140"/>
      <c r="D246" s="172"/>
      <c r="E246" s="172"/>
      <c r="F246" s="172"/>
      <c r="G246" s="132"/>
      <c r="H246" s="132"/>
      <c r="I246" s="132"/>
      <c r="J246" s="185"/>
      <c r="K246" s="185"/>
      <c r="L246" s="186"/>
    </row>
    <row r="247" spans="2:12" x14ac:dyDescent="0.4">
      <c r="B247" s="139"/>
      <c r="C247" s="140"/>
      <c r="D247" s="172"/>
      <c r="E247" s="172"/>
      <c r="F247" s="172"/>
      <c r="G247" s="132"/>
      <c r="H247" s="132"/>
      <c r="I247" s="132"/>
      <c r="J247" s="185"/>
      <c r="K247" s="185"/>
      <c r="L247" s="186"/>
    </row>
    <row r="248" spans="2:12" x14ac:dyDescent="0.4">
      <c r="B248" s="139"/>
      <c r="C248" s="140"/>
      <c r="D248" s="172"/>
      <c r="E248" s="172"/>
      <c r="F248" s="172"/>
      <c r="G248" s="132"/>
      <c r="H248" s="132"/>
      <c r="I248" s="132"/>
      <c r="J248" s="185"/>
      <c r="K248" s="185"/>
      <c r="L248" s="186"/>
    </row>
    <row r="249" spans="2:12" x14ac:dyDescent="0.4">
      <c r="B249" s="139"/>
      <c r="C249" s="140"/>
      <c r="D249" s="172"/>
      <c r="E249" s="172"/>
      <c r="F249" s="172"/>
      <c r="G249" s="132"/>
      <c r="H249" s="132"/>
      <c r="I249" s="132"/>
      <c r="J249" s="185"/>
      <c r="K249" s="185"/>
      <c r="L249" s="186"/>
    </row>
    <row r="250" spans="2:12" x14ac:dyDescent="0.4">
      <c r="B250" s="139"/>
      <c r="C250" s="140"/>
      <c r="D250" s="172"/>
      <c r="E250" s="172"/>
      <c r="F250" s="172"/>
      <c r="G250" s="132"/>
      <c r="H250" s="132"/>
      <c r="I250" s="132"/>
      <c r="J250" s="185"/>
      <c r="K250" s="185"/>
      <c r="L250" s="186"/>
    </row>
    <row r="251" spans="2:12" x14ac:dyDescent="0.4">
      <c r="B251" s="139"/>
      <c r="C251" s="140"/>
      <c r="D251" s="172"/>
      <c r="E251" s="172"/>
      <c r="F251" s="172"/>
      <c r="G251" s="132"/>
      <c r="H251" s="132"/>
      <c r="I251" s="132"/>
      <c r="J251" s="185"/>
      <c r="K251" s="185"/>
      <c r="L251" s="186"/>
    </row>
    <row r="252" spans="2:12" x14ac:dyDescent="0.4">
      <c r="B252" s="139"/>
      <c r="C252" s="140"/>
      <c r="D252" s="172"/>
      <c r="E252" s="172"/>
      <c r="F252" s="172"/>
      <c r="G252" s="132"/>
      <c r="H252" s="132"/>
      <c r="I252" s="132"/>
      <c r="J252" s="185"/>
      <c r="K252" s="185"/>
      <c r="L252" s="186"/>
    </row>
    <row r="253" spans="2:12" ht="13.5" thickBot="1" x14ac:dyDescent="0.45">
      <c r="B253" s="141"/>
      <c r="C253" s="142"/>
      <c r="D253" s="191"/>
      <c r="E253" s="191"/>
      <c r="F253" s="191"/>
      <c r="G253" s="133"/>
      <c r="H253" s="133"/>
      <c r="I253" s="133"/>
      <c r="J253" s="192"/>
      <c r="K253" s="192"/>
      <c r="L253" s="193"/>
    </row>
  </sheetData>
  <mergeCells count="1007">
    <mergeCell ref="D2:F2"/>
    <mergeCell ref="G2:I2"/>
    <mergeCell ref="J2:L2"/>
    <mergeCell ref="B7:C7"/>
    <mergeCell ref="D7:F7"/>
    <mergeCell ref="G7:I7"/>
    <mergeCell ref="J7:L7"/>
    <mergeCell ref="B8:C8"/>
    <mergeCell ref="D8:F8"/>
    <mergeCell ref="G8:I8"/>
    <mergeCell ref="J8:L8"/>
    <mergeCell ref="B5:C5"/>
    <mergeCell ref="D5:F5"/>
    <mergeCell ref="G5:I5"/>
    <mergeCell ref="J5:L5"/>
    <mergeCell ref="B6:C6"/>
    <mergeCell ref="D6:F6"/>
    <mergeCell ref="G6:I6"/>
    <mergeCell ref="J6:L6"/>
    <mergeCell ref="B3:C3"/>
    <mergeCell ref="D3:F3"/>
    <mergeCell ref="G3:I3"/>
    <mergeCell ref="J3:L3"/>
    <mergeCell ref="B4:C4"/>
    <mergeCell ref="D4:F4"/>
    <mergeCell ref="G4:I4"/>
    <mergeCell ref="J4:L4"/>
    <mergeCell ref="B13:C13"/>
    <mergeCell ref="D13:F13"/>
    <mergeCell ref="G13:I13"/>
    <mergeCell ref="J13:L13"/>
    <mergeCell ref="B14:C14"/>
    <mergeCell ref="D14:F14"/>
    <mergeCell ref="G14:I14"/>
    <mergeCell ref="J14:L14"/>
    <mergeCell ref="B11:C11"/>
    <mergeCell ref="D11:F11"/>
    <mergeCell ref="G11:I11"/>
    <mergeCell ref="J11:L11"/>
    <mergeCell ref="B12:C12"/>
    <mergeCell ref="D12:F12"/>
    <mergeCell ref="G12:I12"/>
    <mergeCell ref="J12:L12"/>
    <mergeCell ref="B9:C9"/>
    <mergeCell ref="D9:F9"/>
    <mergeCell ref="G9:I9"/>
    <mergeCell ref="J9:L9"/>
    <mergeCell ref="B10:C10"/>
    <mergeCell ref="D10:F10"/>
    <mergeCell ref="G10:I10"/>
    <mergeCell ref="J10:L10"/>
    <mergeCell ref="B19:C19"/>
    <mergeCell ref="D19:F19"/>
    <mergeCell ref="G19:I19"/>
    <mergeCell ref="J19:L19"/>
    <mergeCell ref="B20:C20"/>
    <mergeCell ref="D20:F20"/>
    <mergeCell ref="G20:I20"/>
    <mergeCell ref="J20:L20"/>
    <mergeCell ref="B17:C17"/>
    <mergeCell ref="D17:F17"/>
    <mergeCell ref="G17:I17"/>
    <mergeCell ref="J17:L17"/>
    <mergeCell ref="B18:C18"/>
    <mergeCell ref="D18:F18"/>
    <mergeCell ref="G18:I18"/>
    <mergeCell ref="J18:L18"/>
    <mergeCell ref="B15:C15"/>
    <mergeCell ref="D15:F15"/>
    <mergeCell ref="G15:I15"/>
    <mergeCell ref="J15:L15"/>
    <mergeCell ref="B16:C16"/>
    <mergeCell ref="D16:F16"/>
    <mergeCell ref="G16:I16"/>
    <mergeCell ref="J16:L16"/>
    <mergeCell ref="B25:C25"/>
    <mergeCell ref="D25:F25"/>
    <mergeCell ref="G25:I25"/>
    <mergeCell ref="J25:L25"/>
    <mergeCell ref="B26:C26"/>
    <mergeCell ref="D26:F26"/>
    <mergeCell ref="G26:I26"/>
    <mergeCell ref="J26:L26"/>
    <mergeCell ref="B23:C23"/>
    <mergeCell ref="D23:F23"/>
    <mergeCell ref="G23:I23"/>
    <mergeCell ref="J23:L23"/>
    <mergeCell ref="B24:C24"/>
    <mergeCell ref="D24:F24"/>
    <mergeCell ref="G24:I24"/>
    <mergeCell ref="J24:L24"/>
    <mergeCell ref="B21:C21"/>
    <mergeCell ref="D21:F21"/>
    <mergeCell ref="G21:I21"/>
    <mergeCell ref="J21:L21"/>
    <mergeCell ref="B22:C22"/>
    <mergeCell ref="D22:F22"/>
    <mergeCell ref="G22:I22"/>
    <mergeCell ref="J22:L22"/>
    <mergeCell ref="B31:C31"/>
    <mergeCell ref="D31:F31"/>
    <mergeCell ref="G31:I31"/>
    <mergeCell ref="J31:L31"/>
    <mergeCell ref="B32:C32"/>
    <mergeCell ref="D32:F32"/>
    <mergeCell ref="G32:I32"/>
    <mergeCell ref="J32:L32"/>
    <mergeCell ref="B29:C29"/>
    <mergeCell ref="D29:F29"/>
    <mergeCell ref="G29:I29"/>
    <mergeCell ref="J29:L29"/>
    <mergeCell ref="B30:C30"/>
    <mergeCell ref="D30:F30"/>
    <mergeCell ref="G30:I30"/>
    <mergeCell ref="J30:L30"/>
    <mergeCell ref="B27:C27"/>
    <mergeCell ref="D27:F27"/>
    <mergeCell ref="G27:I27"/>
    <mergeCell ref="J27:L27"/>
    <mergeCell ref="B28:C28"/>
    <mergeCell ref="D28:F28"/>
    <mergeCell ref="G28:I28"/>
    <mergeCell ref="J28:L28"/>
    <mergeCell ref="B37:C37"/>
    <mergeCell ref="D37:F37"/>
    <mergeCell ref="G37:I37"/>
    <mergeCell ref="J37:L37"/>
    <mergeCell ref="B38:C38"/>
    <mergeCell ref="D38:F38"/>
    <mergeCell ref="G38:I38"/>
    <mergeCell ref="J38:L38"/>
    <mergeCell ref="B35:C35"/>
    <mergeCell ref="D35:F35"/>
    <mergeCell ref="G35:I35"/>
    <mergeCell ref="J35:L35"/>
    <mergeCell ref="B36:C36"/>
    <mergeCell ref="D36:F36"/>
    <mergeCell ref="G36:I36"/>
    <mergeCell ref="J36:L36"/>
    <mergeCell ref="B33:C33"/>
    <mergeCell ref="D33:F33"/>
    <mergeCell ref="G33:I33"/>
    <mergeCell ref="J33:L33"/>
    <mergeCell ref="B34:C34"/>
    <mergeCell ref="D34:F34"/>
    <mergeCell ref="G34:I34"/>
    <mergeCell ref="J34:L34"/>
    <mergeCell ref="B43:C43"/>
    <mergeCell ref="D43:F43"/>
    <mergeCell ref="G43:I43"/>
    <mergeCell ref="J43:L43"/>
    <mergeCell ref="B44:C44"/>
    <mergeCell ref="D44:F44"/>
    <mergeCell ref="G44:I44"/>
    <mergeCell ref="J44:L44"/>
    <mergeCell ref="B41:C41"/>
    <mergeCell ref="D41:F41"/>
    <mergeCell ref="G41:I41"/>
    <mergeCell ref="J41:L41"/>
    <mergeCell ref="B42:C42"/>
    <mergeCell ref="D42:F42"/>
    <mergeCell ref="G42:I42"/>
    <mergeCell ref="J42:L42"/>
    <mergeCell ref="B39:C39"/>
    <mergeCell ref="D39:F39"/>
    <mergeCell ref="G39:I39"/>
    <mergeCell ref="J39:L39"/>
    <mergeCell ref="B40:C40"/>
    <mergeCell ref="D40:F40"/>
    <mergeCell ref="G40:I40"/>
    <mergeCell ref="J40:L40"/>
    <mergeCell ref="B49:C49"/>
    <mergeCell ref="D49:F49"/>
    <mergeCell ref="G49:I49"/>
    <mergeCell ref="J49:L49"/>
    <mergeCell ref="B50:C50"/>
    <mergeCell ref="D50:F50"/>
    <mergeCell ref="G50:I50"/>
    <mergeCell ref="J50:L50"/>
    <mergeCell ref="B47:C47"/>
    <mergeCell ref="D47:F47"/>
    <mergeCell ref="G47:I47"/>
    <mergeCell ref="J47:L47"/>
    <mergeCell ref="B48:C48"/>
    <mergeCell ref="D48:F48"/>
    <mergeCell ref="G48:I48"/>
    <mergeCell ref="J48:L48"/>
    <mergeCell ref="B45:C45"/>
    <mergeCell ref="D45:F45"/>
    <mergeCell ref="G45:I45"/>
    <mergeCell ref="J45:L45"/>
    <mergeCell ref="B46:C46"/>
    <mergeCell ref="D46:F46"/>
    <mergeCell ref="G46:I46"/>
    <mergeCell ref="J46:L46"/>
    <mergeCell ref="B55:C55"/>
    <mergeCell ref="D55:F55"/>
    <mergeCell ref="G55:I55"/>
    <mergeCell ref="J55:L55"/>
    <mergeCell ref="B56:C56"/>
    <mergeCell ref="D56:F56"/>
    <mergeCell ref="G56:I56"/>
    <mergeCell ref="J56:L56"/>
    <mergeCell ref="B53:C53"/>
    <mergeCell ref="D53:F53"/>
    <mergeCell ref="G53:I53"/>
    <mergeCell ref="J53:L53"/>
    <mergeCell ref="B54:C54"/>
    <mergeCell ref="D54:F54"/>
    <mergeCell ref="G54:I54"/>
    <mergeCell ref="J54:L54"/>
    <mergeCell ref="B51:C51"/>
    <mergeCell ref="D51:F51"/>
    <mergeCell ref="G51:I51"/>
    <mergeCell ref="J51:L51"/>
    <mergeCell ref="B52:C52"/>
    <mergeCell ref="D52:F52"/>
    <mergeCell ref="G52:I52"/>
    <mergeCell ref="J52:L52"/>
    <mergeCell ref="B61:C61"/>
    <mergeCell ref="D61:F61"/>
    <mergeCell ref="G61:I61"/>
    <mergeCell ref="J61:L61"/>
    <mergeCell ref="B62:C62"/>
    <mergeCell ref="D62:F62"/>
    <mergeCell ref="G62:I62"/>
    <mergeCell ref="J62:L62"/>
    <mergeCell ref="B59:C59"/>
    <mergeCell ref="D59:F59"/>
    <mergeCell ref="G59:I59"/>
    <mergeCell ref="J59:L59"/>
    <mergeCell ref="B60:C60"/>
    <mergeCell ref="D60:F60"/>
    <mergeCell ref="G60:I60"/>
    <mergeCell ref="J60:L60"/>
    <mergeCell ref="B57:C57"/>
    <mergeCell ref="D57:F57"/>
    <mergeCell ref="G57:I57"/>
    <mergeCell ref="J57:L57"/>
    <mergeCell ref="B58:C58"/>
    <mergeCell ref="D58:F58"/>
    <mergeCell ref="G58:I58"/>
    <mergeCell ref="J58:L58"/>
    <mergeCell ref="B67:C67"/>
    <mergeCell ref="D67:F67"/>
    <mergeCell ref="G67:I67"/>
    <mergeCell ref="J67:L67"/>
    <mergeCell ref="B68:C68"/>
    <mergeCell ref="D68:F68"/>
    <mergeCell ref="G68:I68"/>
    <mergeCell ref="J68:L68"/>
    <mergeCell ref="B65:C65"/>
    <mergeCell ref="D65:F65"/>
    <mergeCell ref="G65:I65"/>
    <mergeCell ref="J65:L65"/>
    <mergeCell ref="B66:C66"/>
    <mergeCell ref="D66:F66"/>
    <mergeCell ref="G66:I66"/>
    <mergeCell ref="J66:L66"/>
    <mergeCell ref="B63:C63"/>
    <mergeCell ref="D63:F63"/>
    <mergeCell ref="G63:I63"/>
    <mergeCell ref="J63:L63"/>
    <mergeCell ref="B64:C64"/>
    <mergeCell ref="D64:F64"/>
    <mergeCell ref="G64:I64"/>
    <mergeCell ref="J64:L64"/>
    <mergeCell ref="B73:C73"/>
    <mergeCell ref="D73:F73"/>
    <mergeCell ref="G73:I73"/>
    <mergeCell ref="J73:L73"/>
    <mergeCell ref="B74:C74"/>
    <mergeCell ref="D74:F74"/>
    <mergeCell ref="G74:I74"/>
    <mergeCell ref="J74:L74"/>
    <mergeCell ref="B71:C71"/>
    <mergeCell ref="D71:F71"/>
    <mergeCell ref="G71:I71"/>
    <mergeCell ref="J71:L71"/>
    <mergeCell ref="B72:C72"/>
    <mergeCell ref="D72:F72"/>
    <mergeCell ref="G72:I72"/>
    <mergeCell ref="J72:L72"/>
    <mergeCell ref="B69:C69"/>
    <mergeCell ref="D69:F69"/>
    <mergeCell ref="G69:I69"/>
    <mergeCell ref="J69:L69"/>
    <mergeCell ref="B70:C70"/>
    <mergeCell ref="D70:F70"/>
    <mergeCell ref="G70:I70"/>
    <mergeCell ref="J70:L70"/>
    <mergeCell ref="B79:C79"/>
    <mergeCell ref="D79:F79"/>
    <mergeCell ref="G79:I79"/>
    <mergeCell ref="J79:L79"/>
    <mergeCell ref="B80:C80"/>
    <mergeCell ref="D80:F80"/>
    <mergeCell ref="G80:I80"/>
    <mergeCell ref="J80:L80"/>
    <mergeCell ref="B77:C77"/>
    <mergeCell ref="D77:F77"/>
    <mergeCell ref="G77:I77"/>
    <mergeCell ref="J77:L77"/>
    <mergeCell ref="B78:C78"/>
    <mergeCell ref="D78:F78"/>
    <mergeCell ref="G78:I78"/>
    <mergeCell ref="J78:L78"/>
    <mergeCell ref="B75:C75"/>
    <mergeCell ref="D75:F75"/>
    <mergeCell ref="G75:I75"/>
    <mergeCell ref="J75:L75"/>
    <mergeCell ref="B76:C76"/>
    <mergeCell ref="D76:F76"/>
    <mergeCell ref="G76:I76"/>
    <mergeCell ref="J76:L76"/>
    <mergeCell ref="B85:C85"/>
    <mergeCell ref="D85:F85"/>
    <mergeCell ref="G85:I85"/>
    <mergeCell ref="J85:L85"/>
    <mergeCell ref="B86:C86"/>
    <mergeCell ref="D86:F86"/>
    <mergeCell ref="G86:I86"/>
    <mergeCell ref="J86:L86"/>
    <mergeCell ref="B83:C83"/>
    <mergeCell ref="D83:F83"/>
    <mergeCell ref="G83:I83"/>
    <mergeCell ref="J83:L83"/>
    <mergeCell ref="B84:C84"/>
    <mergeCell ref="D84:F84"/>
    <mergeCell ref="G84:I84"/>
    <mergeCell ref="J84:L84"/>
    <mergeCell ref="B81:C81"/>
    <mergeCell ref="D81:F81"/>
    <mergeCell ref="G81:I81"/>
    <mergeCell ref="J81:L81"/>
    <mergeCell ref="B82:C82"/>
    <mergeCell ref="D82:F82"/>
    <mergeCell ref="G82:I82"/>
    <mergeCell ref="J82:L82"/>
    <mergeCell ref="B91:C91"/>
    <mergeCell ref="D91:F91"/>
    <mergeCell ref="G91:I91"/>
    <mergeCell ref="J91:L91"/>
    <mergeCell ref="B92:C92"/>
    <mergeCell ref="D92:F92"/>
    <mergeCell ref="G92:I92"/>
    <mergeCell ref="J92:L92"/>
    <mergeCell ref="B89:C89"/>
    <mergeCell ref="D89:F89"/>
    <mergeCell ref="G89:I89"/>
    <mergeCell ref="J89:L89"/>
    <mergeCell ref="B90:C90"/>
    <mergeCell ref="D90:F90"/>
    <mergeCell ref="G90:I90"/>
    <mergeCell ref="J90:L90"/>
    <mergeCell ref="B87:C87"/>
    <mergeCell ref="D87:F87"/>
    <mergeCell ref="G87:I87"/>
    <mergeCell ref="J87:L87"/>
    <mergeCell ref="B88:C88"/>
    <mergeCell ref="D88:F88"/>
    <mergeCell ref="G88:I88"/>
    <mergeCell ref="J88:L88"/>
    <mergeCell ref="B97:C97"/>
    <mergeCell ref="D97:F97"/>
    <mergeCell ref="G97:I97"/>
    <mergeCell ref="J97:L97"/>
    <mergeCell ref="B98:C98"/>
    <mergeCell ref="D98:F98"/>
    <mergeCell ref="G98:I98"/>
    <mergeCell ref="J98:L98"/>
    <mergeCell ref="B95:C95"/>
    <mergeCell ref="D95:F95"/>
    <mergeCell ref="G95:I95"/>
    <mergeCell ref="J95:L95"/>
    <mergeCell ref="B96:C96"/>
    <mergeCell ref="D96:F96"/>
    <mergeCell ref="G96:I96"/>
    <mergeCell ref="J96:L96"/>
    <mergeCell ref="B93:C93"/>
    <mergeCell ref="D93:F93"/>
    <mergeCell ref="G93:I93"/>
    <mergeCell ref="J93:L93"/>
    <mergeCell ref="B94:C94"/>
    <mergeCell ref="D94:F94"/>
    <mergeCell ref="G94:I94"/>
    <mergeCell ref="J94:L94"/>
    <mergeCell ref="B103:C103"/>
    <mergeCell ref="D103:F103"/>
    <mergeCell ref="G103:I103"/>
    <mergeCell ref="J103:L103"/>
    <mergeCell ref="B104:C104"/>
    <mergeCell ref="D104:F104"/>
    <mergeCell ref="G104:I104"/>
    <mergeCell ref="J104:L104"/>
    <mergeCell ref="B101:C101"/>
    <mergeCell ref="D101:F101"/>
    <mergeCell ref="G101:I101"/>
    <mergeCell ref="J101:L101"/>
    <mergeCell ref="B102:C102"/>
    <mergeCell ref="D102:F102"/>
    <mergeCell ref="G102:I102"/>
    <mergeCell ref="J102:L102"/>
    <mergeCell ref="B99:C99"/>
    <mergeCell ref="D99:F99"/>
    <mergeCell ref="G99:I99"/>
    <mergeCell ref="J99:L99"/>
    <mergeCell ref="B100:C100"/>
    <mergeCell ref="D100:F100"/>
    <mergeCell ref="G100:I100"/>
    <mergeCell ref="J100:L100"/>
    <mergeCell ref="B109:C109"/>
    <mergeCell ref="D109:F109"/>
    <mergeCell ref="G109:I109"/>
    <mergeCell ref="J109:L109"/>
    <mergeCell ref="B110:C110"/>
    <mergeCell ref="D110:F110"/>
    <mergeCell ref="G110:I110"/>
    <mergeCell ref="J110:L110"/>
    <mergeCell ref="B107:C107"/>
    <mergeCell ref="D107:F107"/>
    <mergeCell ref="G107:I107"/>
    <mergeCell ref="J107:L107"/>
    <mergeCell ref="B108:C108"/>
    <mergeCell ref="D108:F108"/>
    <mergeCell ref="G108:I108"/>
    <mergeCell ref="J108:L108"/>
    <mergeCell ref="B105:C105"/>
    <mergeCell ref="D105:F105"/>
    <mergeCell ref="G105:I105"/>
    <mergeCell ref="J105:L105"/>
    <mergeCell ref="B106:C106"/>
    <mergeCell ref="D106:F106"/>
    <mergeCell ref="G106:I106"/>
    <mergeCell ref="J106:L106"/>
    <mergeCell ref="B115:C115"/>
    <mergeCell ref="D115:F115"/>
    <mergeCell ref="G115:I115"/>
    <mergeCell ref="J115:L115"/>
    <mergeCell ref="B116:C116"/>
    <mergeCell ref="D116:F116"/>
    <mergeCell ref="G116:I116"/>
    <mergeCell ref="J116:L116"/>
    <mergeCell ref="B113:C113"/>
    <mergeCell ref="D113:F113"/>
    <mergeCell ref="G113:I113"/>
    <mergeCell ref="J113:L113"/>
    <mergeCell ref="B114:C114"/>
    <mergeCell ref="D114:F114"/>
    <mergeCell ref="G114:I114"/>
    <mergeCell ref="J114:L114"/>
    <mergeCell ref="B111:C111"/>
    <mergeCell ref="D111:F111"/>
    <mergeCell ref="G111:I111"/>
    <mergeCell ref="J111:L111"/>
    <mergeCell ref="B112:C112"/>
    <mergeCell ref="D112:F112"/>
    <mergeCell ref="G112:I112"/>
    <mergeCell ref="J112:L112"/>
    <mergeCell ref="B121:C121"/>
    <mergeCell ref="D121:F121"/>
    <mergeCell ref="G121:I121"/>
    <mergeCell ref="J121:L121"/>
    <mergeCell ref="B122:C122"/>
    <mergeCell ref="D122:F122"/>
    <mergeCell ref="G122:I122"/>
    <mergeCell ref="J122:L122"/>
    <mergeCell ref="B119:C119"/>
    <mergeCell ref="D119:F119"/>
    <mergeCell ref="G119:I119"/>
    <mergeCell ref="J119:L119"/>
    <mergeCell ref="B120:C120"/>
    <mergeCell ref="D120:F120"/>
    <mergeCell ref="G120:I120"/>
    <mergeCell ref="J120:L120"/>
    <mergeCell ref="B117:C117"/>
    <mergeCell ref="D117:F117"/>
    <mergeCell ref="G117:I117"/>
    <mergeCell ref="J117:L117"/>
    <mergeCell ref="B118:C118"/>
    <mergeCell ref="D118:F118"/>
    <mergeCell ref="G118:I118"/>
    <mergeCell ref="J118:L118"/>
    <mergeCell ref="B127:C127"/>
    <mergeCell ref="D127:F127"/>
    <mergeCell ref="G127:I127"/>
    <mergeCell ref="J127:L127"/>
    <mergeCell ref="B128:C128"/>
    <mergeCell ref="D128:F128"/>
    <mergeCell ref="G128:I128"/>
    <mergeCell ref="J128:L128"/>
    <mergeCell ref="B125:C125"/>
    <mergeCell ref="D125:F125"/>
    <mergeCell ref="G125:I125"/>
    <mergeCell ref="J125:L125"/>
    <mergeCell ref="B126:C126"/>
    <mergeCell ref="D126:F126"/>
    <mergeCell ref="G126:I126"/>
    <mergeCell ref="J126:L126"/>
    <mergeCell ref="B123:C123"/>
    <mergeCell ref="D123:F123"/>
    <mergeCell ref="G123:I123"/>
    <mergeCell ref="J123:L123"/>
    <mergeCell ref="B124:C124"/>
    <mergeCell ref="D124:F124"/>
    <mergeCell ref="G124:I124"/>
    <mergeCell ref="J124:L124"/>
    <mergeCell ref="B133:C133"/>
    <mergeCell ref="D133:F133"/>
    <mergeCell ref="G133:I133"/>
    <mergeCell ref="J133:L133"/>
    <mergeCell ref="B134:C134"/>
    <mergeCell ref="D134:F134"/>
    <mergeCell ref="G134:I134"/>
    <mergeCell ref="J134:L134"/>
    <mergeCell ref="B131:C131"/>
    <mergeCell ref="D131:F131"/>
    <mergeCell ref="G131:I131"/>
    <mergeCell ref="J131:L131"/>
    <mergeCell ref="B132:C132"/>
    <mergeCell ref="D132:F132"/>
    <mergeCell ref="G132:I132"/>
    <mergeCell ref="J132:L132"/>
    <mergeCell ref="B129:C129"/>
    <mergeCell ref="D129:F129"/>
    <mergeCell ref="G129:I129"/>
    <mergeCell ref="J129:L129"/>
    <mergeCell ref="B130:C130"/>
    <mergeCell ref="D130:F130"/>
    <mergeCell ref="G130:I130"/>
    <mergeCell ref="J130:L130"/>
    <mergeCell ref="B139:C139"/>
    <mergeCell ref="D139:F139"/>
    <mergeCell ref="G139:I139"/>
    <mergeCell ref="J139:L139"/>
    <mergeCell ref="B140:C140"/>
    <mergeCell ref="D140:F140"/>
    <mergeCell ref="G140:I140"/>
    <mergeCell ref="J140:L140"/>
    <mergeCell ref="B137:C137"/>
    <mergeCell ref="D137:F137"/>
    <mergeCell ref="G137:I137"/>
    <mergeCell ref="J137:L137"/>
    <mergeCell ref="B138:C138"/>
    <mergeCell ref="D138:F138"/>
    <mergeCell ref="G138:I138"/>
    <mergeCell ref="J138:L138"/>
    <mergeCell ref="B135:C135"/>
    <mergeCell ref="D135:F135"/>
    <mergeCell ref="G135:I135"/>
    <mergeCell ref="J135:L135"/>
    <mergeCell ref="B136:C136"/>
    <mergeCell ref="D136:F136"/>
    <mergeCell ref="G136:I136"/>
    <mergeCell ref="J136:L136"/>
    <mergeCell ref="B145:C145"/>
    <mergeCell ref="D145:F145"/>
    <mergeCell ref="G145:I145"/>
    <mergeCell ref="J145:L145"/>
    <mergeCell ref="B146:C146"/>
    <mergeCell ref="D146:F146"/>
    <mergeCell ref="G146:I146"/>
    <mergeCell ref="J146:L146"/>
    <mergeCell ref="B143:C143"/>
    <mergeCell ref="D143:F143"/>
    <mergeCell ref="G143:I143"/>
    <mergeCell ref="J143:L143"/>
    <mergeCell ref="B144:C144"/>
    <mergeCell ref="D144:F144"/>
    <mergeCell ref="G144:I144"/>
    <mergeCell ref="J144:L144"/>
    <mergeCell ref="B141:C141"/>
    <mergeCell ref="D141:F141"/>
    <mergeCell ref="G141:I141"/>
    <mergeCell ref="J141:L141"/>
    <mergeCell ref="B142:C142"/>
    <mergeCell ref="D142:F142"/>
    <mergeCell ref="G142:I142"/>
    <mergeCell ref="J142:L142"/>
    <mergeCell ref="B151:C151"/>
    <mergeCell ref="D151:F151"/>
    <mergeCell ref="G151:I151"/>
    <mergeCell ref="J151:L151"/>
    <mergeCell ref="B152:C152"/>
    <mergeCell ref="D152:F152"/>
    <mergeCell ref="G152:I152"/>
    <mergeCell ref="J152:L152"/>
    <mergeCell ref="B149:C149"/>
    <mergeCell ref="D149:F149"/>
    <mergeCell ref="G149:I149"/>
    <mergeCell ref="J149:L149"/>
    <mergeCell ref="B150:C150"/>
    <mergeCell ref="D150:F150"/>
    <mergeCell ref="G150:I150"/>
    <mergeCell ref="J150:L150"/>
    <mergeCell ref="B147:C147"/>
    <mergeCell ref="D147:F147"/>
    <mergeCell ref="G147:I147"/>
    <mergeCell ref="J147:L147"/>
    <mergeCell ref="B148:C148"/>
    <mergeCell ref="D148:F148"/>
    <mergeCell ref="G148:I148"/>
    <mergeCell ref="J148:L148"/>
    <mergeCell ref="B157:C157"/>
    <mergeCell ref="D157:F157"/>
    <mergeCell ref="G157:I157"/>
    <mergeCell ref="J157:L157"/>
    <mergeCell ref="B158:C158"/>
    <mergeCell ref="D158:F158"/>
    <mergeCell ref="G158:I158"/>
    <mergeCell ref="J158:L158"/>
    <mergeCell ref="B155:C155"/>
    <mergeCell ref="D155:F155"/>
    <mergeCell ref="G155:I155"/>
    <mergeCell ref="J155:L155"/>
    <mergeCell ref="B156:C156"/>
    <mergeCell ref="D156:F156"/>
    <mergeCell ref="G156:I156"/>
    <mergeCell ref="J156:L156"/>
    <mergeCell ref="B153:C153"/>
    <mergeCell ref="D153:F153"/>
    <mergeCell ref="G153:I153"/>
    <mergeCell ref="J153:L153"/>
    <mergeCell ref="B154:C154"/>
    <mergeCell ref="D154:F154"/>
    <mergeCell ref="G154:I154"/>
    <mergeCell ref="J154:L154"/>
    <mergeCell ref="B163:C163"/>
    <mergeCell ref="D163:F163"/>
    <mergeCell ref="G163:I163"/>
    <mergeCell ref="J163:L163"/>
    <mergeCell ref="B164:C164"/>
    <mergeCell ref="D164:F164"/>
    <mergeCell ref="G164:I164"/>
    <mergeCell ref="J164:L164"/>
    <mergeCell ref="B161:C161"/>
    <mergeCell ref="D161:F161"/>
    <mergeCell ref="G161:I161"/>
    <mergeCell ref="J161:L161"/>
    <mergeCell ref="B162:C162"/>
    <mergeCell ref="D162:F162"/>
    <mergeCell ref="G162:I162"/>
    <mergeCell ref="J162:L162"/>
    <mergeCell ref="B159:C159"/>
    <mergeCell ref="D159:F159"/>
    <mergeCell ref="G159:I159"/>
    <mergeCell ref="J159:L159"/>
    <mergeCell ref="B160:C160"/>
    <mergeCell ref="D160:F160"/>
    <mergeCell ref="G160:I160"/>
    <mergeCell ref="J160:L160"/>
    <mergeCell ref="B169:C169"/>
    <mergeCell ref="D169:F169"/>
    <mergeCell ref="G169:I169"/>
    <mergeCell ref="J169:L169"/>
    <mergeCell ref="B170:C170"/>
    <mergeCell ref="D170:F170"/>
    <mergeCell ref="G170:I170"/>
    <mergeCell ref="J170:L170"/>
    <mergeCell ref="B167:C167"/>
    <mergeCell ref="D167:F167"/>
    <mergeCell ref="G167:I167"/>
    <mergeCell ref="J167:L167"/>
    <mergeCell ref="B168:C168"/>
    <mergeCell ref="D168:F168"/>
    <mergeCell ref="G168:I168"/>
    <mergeCell ref="J168:L168"/>
    <mergeCell ref="B165:C165"/>
    <mergeCell ref="D165:F165"/>
    <mergeCell ref="G165:I165"/>
    <mergeCell ref="J165:L165"/>
    <mergeCell ref="B166:C166"/>
    <mergeCell ref="D166:F166"/>
    <mergeCell ref="G166:I166"/>
    <mergeCell ref="J166:L166"/>
    <mergeCell ref="B175:C175"/>
    <mergeCell ref="D175:F175"/>
    <mergeCell ref="G175:I175"/>
    <mergeCell ref="J175:L175"/>
    <mergeCell ref="B176:C176"/>
    <mergeCell ref="D176:F176"/>
    <mergeCell ref="G176:I176"/>
    <mergeCell ref="J176:L176"/>
    <mergeCell ref="B173:C173"/>
    <mergeCell ref="D173:F173"/>
    <mergeCell ref="G173:I173"/>
    <mergeCell ref="J173:L173"/>
    <mergeCell ref="B174:C174"/>
    <mergeCell ref="D174:F174"/>
    <mergeCell ref="G174:I174"/>
    <mergeCell ref="J174:L174"/>
    <mergeCell ref="B171:C171"/>
    <mergeCell ref="D171:F171"/>
    <mergeCell ref="G171:I171"/>
    <mergeCell ref="J171:L171"/>
    <mergeCell ref="B172:C172"/>
    <mergeCell ref="D172:F172"/>
    <mergeCell ref="G172:I172"/>
    <mergeCell ref="J172:L172"/>
    <mergeCell ref="B181:C181"/>
    <mergeCell ref="D181:F181"/>
    <mergeCell ref="G181:I181"/>
    <mergeCell ref="J181:L181"/>
    <mergeCell ref="B182:C182"/>
    <mergeCell ref="D182:F182"/>
    <mergeCell ref="G182:I182"/>
    <mergeCell ref="J182:L182"/>
    <mergeCell ref="B179:C179"/>
    <mergeCell ref="D179:F179"/>
    <mergeCell ref="G179:I179"/>
    <mergeCell ref="J179:L179"/>
    <mergeCell ref="B180:C180"/>
    <mergeCell ref="D180:F180"/>
    <mergeCell ref="G180:I180"/>
    <mergeCell ref="J180:L180"/>
    <mergeCell ref="B177:C177"/>
    <mergeCell ref="D177:F177"/>
    <mergeCell ref="G177:I177"/>
    <mergeCell ref="J177:L177"/>
    <mergeCell ref="B178:C178"/>
    <mergeCell ref="D178:F178"/>
    <mergeCell ref="G178:I178"/>
    <mergeCell ref="J178:L178"/>
    <mergeCell ref="B187:C187"/>
    <mergeCell ref="D187:F187"/>
    <mergeCell ref="G187:I187"/>
    <mergeCell ref="J187:L187"/>
    <mergeCell ref="B188:C188"/>
    <mergeCell ref="D188:F188"/>
    <mergeCell ref="G188:I188"/>
    <mergeCell ref="J188:L188"/>
    <mergeCell ref="B185:C185"/>
    <mergeCell ref="D185:F185"/>
    <mergeCell ref="G185:I185"/>
    <mergeCell ref="J185:L185"/>
    <mergeCell ref="B186:C186"/>
    <mergeCell ref="D186:F186"/>
    <mergeCell ref="G186:I186"/>
    <mergeCell ref="J186:L186"/>
    <mergeCell ref="B183:C183"/>
    <mergeCell ref="D183:F183"/>
    <mergeCell ref="G183:I183"/>
    <mergeCell ref="J183:L183"/>
    <mergeCell ref="B184:C184"/>
    <mergeCell ref="D184:F184"/>
    <mergeCell ref="G184:I184"/>
    <mergeCell ref="J184:L184"/>
    <mergeCell ref="B193:C193"/>
    <mergeCell ref="D193:F193"/>
    <mergeCell ref="G193:I193"/>
    <mergeCell ref="J193:L193"/>
    <mergeCell ref="B194:C194"/>
    <mergeCell ref="D194:F194"/>
    <mergeCell ref="G194:I194"/>
    <mergeCell ref="J194:L194"/>
    <mergeCell ref="B191:C191"/>
    <mergeCell ref="D191:F191"/>
    <mergeCell ref="G191:I191"/>
    <mergeCell ref="J191:L191"/>
    <mergeCell ref="B192:C192"/>
    <mergeCell ref="D192:F192"/>
    <mergeCell ref="G192:I192"/>
    <mergeCell ref="J192:L192"/>
    <mergeCell ref="B189:C189"/>
    <mergeCell ref="D189:F189"/>
    <mergeCell ref="G189:I189"/>
    <mergeCell ref="J189:L189"/>
    <mergeCell ref="B190:C190"/>
    <mergeCell ref="D190:F190"/>
    <mergeCell ref="G190:I190"/>
    <mergeCell ref="J190:L190"/>
    <mergeCell ref="B199:C199"/>
    <mergeCell ref="D199:F199"/>
    <mergeCell ref="G199:I199"/>
    <mergeCell ref="J199:L199"/>
    <mergeCell ref="B200:C200"/>
    <mergeCell ref="D200:F200"/>
    <mergeCell ref="G200:I200"/>
    <mergeCell ref="J200:L200"/>
    <mergeCell ref="B197:C197"/>
    <mergeCell ref="D197:F197"/>
    <mergeCell ref="G197:I197"/>
    <mergeCell ref="J197:L197"/>
    <mergeCell ref="B198:C198"/>
    <mergeCell ref="D198:F198"/>
    <mergeCell ref="G198:I198"/>
    <mergeCell ref="J198:L198"/>
    <mergeCell ref="B195:C195"/>
    <mergeCell ref="D195:F195"/>
    <mergeCell ref="G195:I195"/>
    <mergeCell ref="J195:L195"/>
    <mergeCell ref="B196:C196"/>
    <mergeCell ref="D196:F196"/>
    <mergeCell ref="G196:I196"/>
    <mergeCell ref="J196:L196"/>
    <mergeCell ref="B205:C205"/>
    <mergeCell ref="D205:F205"/>
    <mergeCell ref="G205:I205"/>
    <mergeCell ref="J205:L205"/>
    <mergeCell ref="B206:C206"/>
    <mergeCell ref="D206:F206"/>
    <mergeCell ref="G206:I206"/>
    <mergeCell ref="J206:L206"/>
    <mergeCell ref="B203:C203"/>
    <mergeCell ref="D203:F203"/>
    <mergeCell ref="G203:I203"/>
    <mergeCell ref="J203:L203"/>
    <mergeCell ref="B204:C204"/>
    <mergeCell ref="D204:F204"/>
    <mergeCell ref="G204:I204"/>
    <mergeCell ref="J204:L204"/>
    <mergeCell ref="B201:C201"/>
    <mergeCell ref="D201:F201"/>
    <mergeCell ref="G201:I201"/>
    <mergeCell ref="J201:L201"/>
    <mergeCell ref="B202:C202"/>
    <mergeCell ref="D202:F202"/>
    <mergeCell ref="G202:I202"/>
    <mergeCell ref="J202:L202"/>
    <mergeCell ref="B211:C211"/>
    <mergeCell ref="D211:F211"/>
    <mergeCell ref="G211:I211"/>
    <mergeCell ref="J211:L211"/>
    <mergeCell ref="B212:C212"/>
    <mergeCell ref="D212:F212"/>
    <mergeCell ref="G212:I212"/>
    <mergeCell ref="J212:L212"/>
    <mergeCell ref="B209:C209"/>
    <mergeCell ref="D209:F209"/>
    <mergeCell ref="G209:I209"/>
    <mergeCell ref="J209:L209"/>
    <mergeCell ref="B210:C210"/>
    <mergeCell ref="D210:F210"/>
    <mergeCell ref="G210:I210"/>
    <mergeCell ref="J210:L210"/>
    <mergeCell ref="B207:C207"/>
    <mergeCell ref="D207:F207"/>
    <mergeCell ref="G207:I207"/>
    <mergeCell ref="J207:L207"/>
    <mergeCell ref="B208:C208"/>
    <mergeCell ref="D208:F208"/>
    <mergeCell ref="G208:I208"/>
    <mergeCell ref="J208:L208"/>
    <mergeCell ref="B217:C217"/>
    <mergeCell ref="D217:F217"/>
    <mergeCell ref="G217:I217"/>
    <mergeCell ref="J217:L217"/>
    <mergeCell ref="B218:C218"/>
    <mergeCell ref="D218:F218"/>
    <mergeCell ref="G218:I218"/>
    <mergeCell ref="J218:L218"/>
    <mergeCell ref="B215:C215"/>
    <mergeCell ref="D215:F215"/>
    <mergeCell ref="G215:I215"/>
    <mergeCell ref="J215:L215"/>
    <mergeCell ref="B216:C216"/>
    <mergeCell ref="D216:F216"/>
    <mergeCell ref="G216:I216"/>
    <mergeCell ref="J216:L216"/>
    <mergeCell ref="B213:C213"/>
    <mergeCell ref="D213:F213"/>
    <mergeCell ref="G213:I213"/>
    <mergeCell ref="J213:L213"/>
    <mergeCell ref="B214:C214"/>
    <mergeCell ref="D214:F214"/>
    <mergeCell ref="G214:I214"/>
    <mergeCell ref="J214:L214"/>
    <mergeCell ref="B223:C223"/>
    <mergeCell ref="D223:F223"/>
    <mergeCell ref="G223:I223"/>
    <mergeCell ref="J223:L223"/>
    <mergeCell ref="B224:C224"/>
    <mergeCell ref="D224:F224"/>
    <mergeCell ref="G224:I224"/>
    <mergeCell ref="J224:L224"/>
    <mergeCell ref="B221:C221"/>
    <mergeCell ref="D221:F221"/>
    <mergeCell ref="G221:I221"/>
    <mergeCell ref="J221:L221"/>
    <mergeCell ref="B222:C222"/>
    <mergeCell ref="D222:F222"/>
    <mergeCell ref="G222:I222"/>
    <mergeCell ref="J222:L222"/>
    <mergeCell ref="B219:C219"/>
    <mergeCell ref="D219:F219"/>
    <mergeCell ref="G219:I219"/>
    <mergeCell ref="J219:L219"/>
    <mergeCell ref="B220:C220"/>
    <mergeCell ref="D220:F220"/>
    <mergeCell ref="G220:I220"/>
    <mergeCell ref="J220:L220"/>
    <mergeCell ref="B229:C229"/>
    <mergeCell ref="D229:F229"/>
    <mergeCell ref="G229:I229"/>
    <mergeCell ref="J229:L229"/>
    <mergeCell ref="B230:C230"/>
    <mergeCell ref="D230:F230"/>
    <mergeCell ref="G230:I230"/>
    <mergeCell ref="J230:L230"/>
    <mergeCell ref="B227:C227"/>
    <mergeCell ref="D227:F227"/>
    <mergeCell ref="G227:I227"/>
    <mergeCell ref="J227:L227"/>
    <mergeCell ref="B228:C228"/>
    <mergeCell ref="D228:F228"/>
    <mergeCell ref="G228:I228"/>
    <mergeCell ref="J228:L228"/>
    <mergeCell ref="B225:C225"/>
    <mergeCell ref="D225:F225"/>
    <mergeCell ref="G225:I225"/>
    <mergeCell ref="J225:L225"/>
    <mergeCell ref="B226:C226"/>
    <mergeCell ref="D226:F226"/>
    <mergeCell ref="G226:I226"/>
    <mergeCell ref="J226:L226"/>
    <mergeCell ref="B235:C235"/>
    <mergeCell ref="D235:F235"/>
    <mergeCell ref="G235:I235"/>
    <mergeCell ref="J235:L235"/>
    <mergeCell ref="B236:C236"/>
    <mergeCell ref="D236:F236"/>
    <mergeCell ref="G236:I236"/>
    <mergeCell ref="J236:L236"/>
    <mergeCell ref="B233:C233"/>
    <mergeCell ref="D233:F233"/>
    <mergeCell ref="G233:I233"/>
    <mergeCell ref="J233:L233"/>
    <mergeCell ref="B234:C234"/>
    <mergeCell ref="D234:F234"/>
    <mergeCell ref="G234:I234"/>
    <mergeCell ref="J234:L234"/>
    <mergeCell ref="B231:C231"/>
    <mergeCell ref="D231:F231"/>
    <mergeCell ref="G231:I231"/>
    <mergeCell ref="J231:L231"/>
    <mergeCell ref="B232:C232"/>
    <mergeCell ref="D232:F232"/>
    <mergeCell ref="G232:I232"/>
    <mergeCell ref="J232:L232"/>
    <mergeCell ref="B241:C241"/>
    <mergeCell ref="D241:F241"/>
    <mergeCell ref="G241:I241"/>
    <mergeCell ref="J241:L241"/>
    <mergeCell ref="B242:C242"/>
    <mergeCell ref="D242:F242"/>
    <mergeCell ref="G242:I242"/>
    <mergeCell ref="J242:L242"/>
    <mergeCell ref="B239:C239"/>
    <mergeCell ref="D239:F239"/>
    <mergeCell ref="G239:I239"/>
    <mergeCell ref="J239:L239"/>
    <mergeCell ref="B240:C240"/>
    <mergeCell ref="D240:F240"/>
    <mergeCell ref="G240:I240"/>
    <mergeCell ref="J240:L240"/>
    <mergeCell ref="B237:C237"/>
    <mergeCell ref="D237:F237"/>
    <mergeCell ref="G237:I237"/>
    <mergeCell ref="J237:L237"/>
    <mergeCell ref="B238:C238"/>
    <mergeCell ref="D238:F238"/>
    <mergeCell ref="G238:I238"/>
    <mergeCell ref="J238:L238"/>
    <mergeCell ref="B247:C247"/>
    <mergeCell ref="D247:F247"/>
    <mergeCell ref="G247:I247"/>
    <mergeCell ref="J247:L247"/>
    <mergeCell ref="B248:C248"/>
    <mergeCell ref="D248:F248"/>
    <mergeCell ref="G248:I248"/>
    <mergeCell ref="J248:L248"/>
    <mergeCell ref="B245:C245"/>
    <mergeCell ref="D245:F245"/>
    <mergeCell ref="G245:I245"/>
    <mergeCell ref="J245:L245"/>
    <mergeCell ref="B246:C246"/>
    <mergeCell ref="D246:F246"/>
    <mergeCell ref="G246:I246"/>
    <mergeCell ref="J246:L246"/>
    <mergeCell ref="B243:C243"/>
    <mergeCell ref="D243:F243"/>
    <mergeCell ref="G243:I243"/>
    <mergeCell ref="J243:L243"/>
    <mergeCell ref="B244:C244"/>
    <mergeCell ref="D244:F244"/>
    <mergeCell ref="G244:I244"/>
    <mergeCell ref="J244:L244"/>
    <mergeCell ref="B253:C253"/>
    <mergeCell ref="D253:F253"/>
    <mergeCell ref="G253:I253"/>
    <mergeCell ref="J253:L253"/>
    <mergeCell ref="B251:C251"/>
    <mergeCell ref="D251:F251"/>
    <mergeCell ref="G251:I251"/>
    <mergeCell ref="J251:L251"/>
    <mergeCell ref="B252:C252"/>
    <mergeCell ref="D252:F252"/>
    <mergeCell ref="G252:I252"/>
    <mergeCell ref="J252:L252"/>
    <mergeCell ref="B249:C249"/>
    <mergeCell ref="D249:F249"/>
    <mergeCell ref="G249:I249"/>
    <mergeCell ref="J249:L249"/>
    <mergeCell ref="B250:C250"/>
    <mergeCell ref="D250:F250"/>
    <mergeCell ref="G250:I250"/>
    <mergeCell ref="J250:L250"/>
  </mergeCells>
  <conditionalFormatting sqref="B4:L253">
    <cfRule type="expression" dxfId="15" priority="1">
      <formula>$J4:$L253="Return"</formula>
    </cfRule>
    <cfRule type="expression" dxfId="14" priority="2">
      <formula>$G4:$I253="Hold"</formula>
    </cfRule>
    <cfRule type="expression" dxfId="13" priority="3">
      <formula>$G4:$I253="Load"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9481-D1C7-419E-B277-D3F486609F4F}">
  <dimension ref="B1:L253"/>
  <sheetViews>
    <sheetView zoomScale="175" zoomScaleNormal="175" workbookViewId="0">
      <pane xSplit="12" ySplit="3" topLeftCell="M4" activePane="bottomRight" state="frozen"/>
      <selection pane="topRight" activeCell="M1" sqref="M1"/>
      <selection pane="bottomLeft" activeCell="A11" sqref="A11"/>
      <selection pane="bottomRight" activeCell="B4" sqref="B4:L7"/>
    </sheetView>
  </sheetViews>
  <sheetFormatPr defaultRowHeight="13" x14ac:dyDescent="0.4"/>
  <cols>
    <col min="1" max="1" width="8.7265625" style="1"/>
    <col min="2" max="3" width="8.7265625" style="1" customWidth="1"/>
    <col min="4" max="4" width="8.7265625" style="1"/>
    <col min="5" max="5" width="1.81640625" style="1" customWidth="1"/>
    <col min="6" max="8" width="8.7265625" style="1"/>
    <col min="9" max="9" width="1.81640625" style="1" customWidth="1"/>
    <col min="10" max="12" width="8.7265625" style="1"/>
    <col min="13" max="13" width="1.81640625" style="1" customWidth="1"/>
    <col min="14" max="16384" width="8.7265625" style="1"/>
  </cols>
  <sheetData>
    <row r="1" spans="2:12" ht="10" customHeight="1" thickBot="1" x14ac:dyDescent="0.45"/>
    <row r="2" spans="2:12" ht="15.5" customHeight="1" thickBot="1" x14ac:dyDescent="0.45">
      <c r="D2" s="122" cm="1">
        <f t="array" ref="D2">SUMPRODUCT(GCash!$D4:$F253*((GCash!$G4:$I253="Load")*((GCash!$G4:$I253&lt;&gt;"")+(GCash!$G4:$I253=""))))</f>
        <v>0</v>
      </c>
      <c r="E2" s="123"/>
      <c r="F2" s="124"/>
      <c r="G2" s="125" cm="1">
        <f t="array" ref="G2">SUMPRODUCT(GCash!$D4:$F253*(((GCash!$G4:$I253="Hold")*(GCash!$J4:$L253&lt;&gt;"Return"))+((GCash!$G4:$I253="Out")+(GCash!$G4:$I253&lt;&gt;"Load"))))</f>
        <v>0</v>
      </c>
      <c r="H2" s="126"/>
      <c r="I2" s="127"/>
      <c r="J2" s="128">
        <f>D2-G2</f>
        <v>0</v>
      </c>
      <c r="K2" s="129"/>
      <c r="L2" s="130"/>
    </row>
    <row r="3" spans="2:12" x14ac:dyDescent="0.4">
      <c r="B3" s="116" t="s">
        <v>2</v>
      </c>
      <c r="C3" s="147"/>
      <c r="D3" s="147" t="s">
        <v>3</v>
      </c>
      <c r="E3" s="147"/>
      <c r="F3" s="147"/>
      <c r="G3" s="147" t="s">
        <v>4</v>
      </c>
      <c r="H3" s="147"/>
      <c r="I3" s="147"/>
      <c r="J3" s="147" t="s">
        <v>5</v>
      </c>
      <c r="K3" s="147"/>
      <c r="L3" s="117"/>
    </row>
    <row r="4" spans="2:12" x14ac:dyDescent="0.4">
      <c r="B4" s="168"/>
      <c r="C4" s="169"/>
      <c r="D4" s="170"/>
      <c r="E4" s="170"/>
      <c r="F4" s="170"/>
      <c r="G4" s="173"/>
      <c r="H4" s="173"/>
      <c r="I4" s="173"/>
      <c r="J4" s="118"/>
      <c r="K4" s="118"/>
      <c r="L4" s="119"/>
    </row>
    <row r="5" spans="2:12" x14ac:dyDescent="0.4">
      <c r="B5" s="168"/>
      <c r="C5" s="169"/>
      <c r="D5" s="170"/>
      <c r="E5" s="170"/>
      <c r="F5" s="170"/>
      <c r="G5" s="173"/>
      <c r="H5" s="173"/>
      <c r="I5" s="173"/>
      <c r="J5" s="118"/>
      <c r="K5" s="118"/>
      <c r="L5" s="119"/>
    </row>
    <row r="6" spans="2:12" x14ac:dyDescent="0.4">
      <c r="B6" s="168"/>
      <c r="C6" s="169"/>
      <c r="D6" s="170"/>
      <c r="E6" s="170"/>
      <c r="F6" s="170"/>
      <c r="G6" s="173"/>
      <c r="H6" s="173"/>
      <c r="I6" s="173"/>
      <c r="J6" s="118"/>
      <c r="K6" s="118"/>
      <c r="L6" s="119"/>
    </row>
    <row r="7" spans="2:12" x14ac:dyDescent="0.4">
      <c r="B7" s="139"/>
      <c r="C7" s="140"/>
      <c r="D7" s="172"/>
      <c r="E7" s="172"/>
      <c r="F7" s="172"/>
      <c r="G7" s="132"/>
      <c r="H7" s="132"/>
      <c r="I7" s="132"/>
      <c r="J7" s="185"/>
      <c r="K7" s="185"/>
      <c r="L7" s="186"/>
    </row>
    <row r="8" spans="2:12" x14ac:dyDescent="0.4">
      <c r="B8" s="139"/>
      <c r="C8" s="140"/>
      <c r="D8" s="172"/>
      <c r="E8" s="172"/>
      <c r="F8" s="172"/>
      <c r="G8" s="132"/>
      <c r="H8" s="132"/>
      <c r="I8" s="132"/>
      <c r="J8" s="185"/>
      <c r="K8" s="185"/>
      <c r="L8" s="186"/>
    </row>
    <row r="9" spans="2:12" x14ac:dyDescent="0.4">
      <c r="B9" s="139"/>
      <c r="C9" s="140"/>
      <c r="D9" s="172"/>
      <c r="E9" s="172"/>
      <c r="F9" s="172"/>
      <c r="G9" s="132"/>
      <c r="H9" s="132"/>
      <c r="I9" s="132"/>
      <c r="J9" s="185"/>
      <c r="K9" s="185"/>
      <c r="L9" s="186"/>
    </row>
    <row r="10" spans="2:12" x14ac:dyDescent="0.4">
      <c r="B10" s="139"/>
      <c r="C10" s="140"/>
      <c r="D10" s="172"/>
      <c r="E10" s="172"/>
      <c r="F10" s="172"/>
      <c r="G10" s="132"/>
      <c r="H10" s="132"/>
      <c r="I10" s="132"/>
      <c r="J10" s="185"/>
      <c r="K10" s="185"/>
      <c r="L10" s="186"/>
    </row>
    <row r="11" spans="2:12" x14ac:dyDescent="0.4">
      <c r="B11" s="139"/>
      <c r="C11" s="140"/>
      <c r="D11" s="172"/>
      <c r="E11" s="172"/>
      <c r="F11" s="172"/>
      <c r="G11" s="132"/>
      <c r="H11" s="132"/>
      <c r="I11" s="132"/>
      <c r="J11" s="185"/>
      <c r="K11" s="185"/>
      <c r="L11" s="186"/>
    </row>
    <row r="12" spans="2:12" x14ac:dyDescent="0.4">
      <c r="B12" s="139"/>
      <c r="C12" s="140"/>
      <c r="D12" s="172"/>
      <c r="E12" s="172"/>
      <c r="F12" s="172"/>
      <c r="G12" s="132"/>
      <c r="H12" s="132"/>
      <c r="I12" s="132"/>
      <c r="J12" s="185"/>
      <c r="K12" s="185"/>
      <c r="L12" s="186"/>
    </row>
    <row r="13" spans="2:12" x14ac:dyDescent="0.4">
      <c r="B13" s="139"/>
      <c r="C13" s="140"/>
      <c r="D13" s="172"/>
      <c r="E13" s="172"/>
      <c r="F13" s="172"/>
      <c r="G13" s="132"/>
      <c r="H13" s="132"/>
      <c r="I13" s="132"/>
      <c r="J13" s="185"/>
      <c r="K13" s="185"/>
      <c r="L13" s="186"/>
    </row>
    <row r="14" spans="2:12" x14ac:dyDescent="0.4">
      <c r="B14" s="139"/>
      <c r="C14" s="140"/>
      <c r="D14" s="172"/>
      <c r="E14" s="172"/>
      <c r="F14" s="172"/>
      <c r="G14" s="132"/>
      <c r="H14" s="132"/>
      <c r="I14" s="132"/>
      <c r="J14" s="185"/>
      <c r="K14" s="185"/>
      <c r="L14" s="186"/>
    </row>
    <row r="15" spans="2:12" x14ac:dyDescent="0.4">
      <c r="B15" s="139"/>
      <c r="C15" s="140"/>
      <c r="D15" s="172"/>
      <c r="E15" s="172"/>
      <c r="F15" s="172"/>
      <c r="G15" s="132"/>
      <c r="H15" s="132"/>
      <c r="I15" s="132"/>
      <c r="J15" s="185"/>
      <c r="K15" s="185"/>
      <c r="L15" s="186"/>
    </row>
    <row r="16" spans="2:12" x14ac:dyDescent="0.4">
      <c r="B16" s="139"/>
      <c r="C16" s="140"/>
      <c r="D16" s="172"/>
      <c r="E16" s="172"/>
      <c r="F16" s="172"/>
      <c r="G16" s="132"/>
      <c r="H16" s="132"/>
      <c r="I16" s="132"/>
      <c r="J16" s="185"/>
      <c r="K16" s="185"/>
      <c r="L16" s="186"/>
    </row>
    <row r="17" spans="2:12" x14ac:dyDescent="0.4">
      <c r="B17" s="139"/>
      <c r="C17" s="140"/>
      <c r="D17" s="172"/>
      <c r="E17" s="172"/>
      <c r="F17" s="172"/>
      <c r="G17" s="132"/>
      <c r="H17" s="132"/>
      <c r="I17" s="132"/>
      <c r="J17" s="185"/>
      <c r="K17" s="185"/>
      <c r="L17" s="186"/>
    </row>
    <row r="18" spans="2:12" x14ac:dyDescent="0.4">
      <c r="B18" s="139"/>
      <c r="C18" s="140"/>
      <c r="D18" s="172"/>
      <c r="E18" s="172"/>
      <c r="F18" s="172"/>
      <c r="G18" s="132"/>
      <c r="H18" s="132"/>
      <c r="I18" s="132"/>
      <c r="J18" s="185"/>
      <c r="K18" s="185"/>
      <c r="L18" s="186"/>
    </row>
    <row r="19" spans="2:12" x14ac:dyDescent="0.4">
      <c r="B19" s="139"/>
      <c r="C19" s="140"/>
      <c r="D19" s="172"/>
      <c r="E19" s="172"/>
      <c r="F19" s="172"/>
      <c r="G19" s="132"/>
      <c r="H19" s="132"/>
      <c r="I19" s="132"/>
      <c r="J19" s="185"/>
      <c r="K19" s="185"/>
      <c r="L19" s="186"/>
    </row>
    <row r="20" spans="2:12" x14ac:dyDescent="0.4">
      <c r="B20" s="139"/>
      <c r="C20" s="140"/>
      <c r="D20" s="172"/>
      <c r="E20" s="172"/>
      <c r="F20" s="172"/>
      <c r="G20" s="132"/>
      <c r="H20" s="132"/>
      <c r="I20" s="132"/>
      <c r="J20" s="185"/>
      <c r="K20" s="185"/>
      <c r="L20" s="186"/>
    </row>
    <row r="21" spans="2:12" x14ac:dyDescent="0.4">
      <c r="B21" s="139"/>
      <c r="C21" s="140"/>
      <c r="D21" s="172"/>
      <c r="E21" s="172"/>
      <c r="F21" s="172"/>
      <c r="G21" s="132"/>
      <c r="H21" s="132"/>
      <c r="I21" s="132"/>
      <c r="J21" s="185"/>
      <c r="K21" s="185"/>
      <c r="L21" s="186"/>
    </row>
    <row r="22" spans="2:12" x14ac:dyDescent="0.4">
      <c r="B22" s="139"/>
      <c r="C22" s="140"/>
      <c r="D22" s="172"/>
      <c r="E22" s="172"/>
      <c r="F22" s="172"/>
      <c r="G22" s="132"/>
      <c r="H22" s="132"/>
      <c r="I22" s="132"/>
      <c r="J22" s="185"/>
      <c r="K22" s="185"/>
      <c r="L22" s="186"/>
    </row>
    <row r="23" spans="2:12" x14ac:dyDescent="0.4">
      <c r="B23" s="139"/>
      <c r="C23" s="140"/>
      <c r="D23" s="172"/>
      <c r="E23" s="172"/>
      <c r="F23" s="172"/>
      <c r="G23" s="132"/>
      <c r="H23" s="132"/>
      <c r="I23" s="132"/>
      <c r="J23" s="185"/>
      <c r="K23" s="185"/>
      <c r="L23" s="186"/>
    </row>
    <row r="24" spans="2:12" x14ac:dyDescent="0.4">
      <c r="B24" s="139"/>
      <c r="C24" s="140"/>
      <c r="D24" s="172"/>
      <c r="E24" s="172"/>
      <c r="F24" s="172"/>
      <c r="G24" s="132"/>
      <c r="H24" s="132"/>
      <c r="I24" s="132"/>
      <c r="J24" s="185"/>
      <c r="K24" s="185"/>
      <c r="L24" s="186"/>
    </row>
    <row r="25" spans="2:12" x14ac:dyDescent="0.4">
      <c r="B25" s="139"/>
      <c r="C25" s="140"/>
      <c r="D25" s="172"/>
      <c r="E25" s="172"/>
      <c r="F25" s="172"/>
      <c r="G25" s="132"/>
      <c r="H25" s="132"/>
      <c r="I25" s="132"/>
      <c r="J25" s="185"/>
      <c r="K25" s="185"/>
      <c r="L25" s="186"/>
    </row>
    <row r="26" spans="2:12" x14ac:dyDescent="0.4">
      <c r="B26" s="139"/>
      <c r="C26" s="140"/>
      <c r="D26" s="172"/>
      <c r="E26" s="172"/>
      <c r="F26" s="172"/>
      <c r="G26" s="132"/>
      <c r="H26" s="132"/>
      <c r="I26" s="132"/>
      <c r="J26" s="185"/>
      <c r="K26" s="185"/>
      <c r="L26" s="186"/>
    </row>
    <row r="27" spans="2:12" x14ac:dyDescent="0.4">
      <c r="B27" s="139"/>
      <c r="C27" s="140"/>
      <c r="D27" s="172"/>
      <c r="E27" s="172"/>
      <c r="F27" s="172"/>
      <c r="G27" s="132"/>
      <c r="H27" s="132"/>
      <c r="I27" s="132"/>
      <c r="J27" s="185"/>
      <c r="K27" s="185"/>
      <c r="L27" s="186"/>
    </row>
    <row r="28" spans="2:12" x14ac:dyDescent="0.4">
      <c r="B28" s="139"/>
      <c r="C28" s="140"/>
      <c r="D28" s="172"/>
      <c r="E28" s="172"/>
      <c r="F28" s="172"/>
      <c r="G28" s="132"/>
      <c r="H28" s="132"/>
      <c r="I28" s="132"/>
      <c r="J28" s="185"/>
      <c r="K28" s="185"/>
      <c r="L28" s="186"/>
    </row>
    <row r="29" spans="2:12" x14ac:dyDescent="0.4">
      <c r="B29" s="139"/>
      <c r="C29" s="140"/>
      <c r="D29" s="172"/>
      <c r="E29" s="172"/>
      <c r="F29" s="172"/>
      <c r="G29" s="132"/>
      <c r="H29" s="132"/>
      <c r="I29" s="132"/>
      <c r="J29" s="185"/>
      <c r="K29" s="185"/>
      <c r="L29" s="186"/>
    </row>
    <row r="30" spans="2:12" x14ac:dyDescent="0.4">
      <c r="B30" s="139"/>
      <c r="C30" s="140"/>
      <c r="D30" s="172"/>
      <c r="E30" s="172"/>
      <c r="F30" s="172"/>
      <c r="G30" s="132"/>
      <c r="H30" s="132"/>
      <c r="I30" s="132"/>
      <c r="J30" s="185"/>
      <c r="K30" s="185"/>
      <c r="L30" s="186"/>
    </row>
    <row r="31" spans="2:12" x14ac:dyDescent="0.4">
      <c r="B31" s="139"/>
      <c r="C31" s="140"/>
      <c r="D31" s="172"/>
      <c r="E31" s="172"/>
      <c r="F31" s="172"/>
      <c r="G31" s="132"/>
      <c r="H31" s="132"/>
      <c r="I31" s="132"/>
      <c r="J31" s="185"/>
      <c r="K31" s="185"/>
      <c r="L31" s="186"/>
    </row>
    <row r="32" spans="2:12" x14ac:dyDescent="0.4">
      <c r="B32" s="139"/>
      <c r="C32" s="140"/>
      <c r="D32" s="172"/>
      <c r="E32" s="172"/>
      <c r="F32" s="172"/>
      <c r="G32" s="132"/>
      <c r="H32" s="132"/>
      <c r="I32" s="132"/>
      <c r="J32" s="185"/>
      <c r="K32" s="185"/>
      <c r="L32" s="186"/>
    </row>
    <row r="33" spans="2:12" x14ac:dyDescent="0.4">
      <c r="B33" s="139"/>
      <c r="C33" s="140"/>
      <c r="D33" s="172"/>
      <c r="E33" s="172"/>
      <c r="F33" s="172"/>
      <c r="G33" s="132"/>
      <c r="H33" s="132"/>
      <c r="I33" s="132"/>
      <c r="J33" s="185"/>
      <c r="K33" s="185"/>
      <c r="L33" s="186"/>
    </row>
    <row r="34" spans="2:12" x14ac:dyDescent="0.4">
      <c r="B34" s="139"/>
      <c r="C34" s="140"/>
      <c r="D34" s="172"/>
      <c r="E34" s="172"/>
      <c r="F34" s="172"/>
      <c r="G34" s="132"/>
      <c r="H34" s="132"/>
      <c r="I34" s="132"/>
      <c r="J34" s="185"/>
      <c r="K34" s="185"/>
      <c r="L34" s="186"/>
    </row>
    <row r="35" spans="2:12" x14ac:dyDescent="0.4">
      <c r="B35" s="139"/>
      <c r="C35" s="140"/>
      <c r="D35" s="172"/>
      <c r="E35" s="172"/>
      <c r="F35" s="172"/>
      <c r="G35" s="132"/>
      <c r="H35" s="132"/>
      <c r="I35" s="132"/>
      <c r="J35" s="185"/>
      <c r="K35" s="185"/>
      <c r="L35" s="186"/>
    </row>
    <row r="36" spans="2:12" x14ac:dyDescent="0.4">
      <c r="B36" s="139"/>
      <c r="C36" s="140"/>
      <c r="D36" s="172"/>
      <c r="E36" s="172"/>
      <c r="F36" s="172"/>
      <c r="G36" s="132"/>
      <c r="H36" s="132"/>
      <c r="I36" s="132"/>
      <c r="J36" s="185"/>
      <c r="K36" s="185"/>
      <c r="L36" s="186"/>
    </row>
    <row r="37" spans="2:12" x14ac:dyDescent="0.4">
      <c r="B37" s="139"/>
      <c r="C37" s="140"/>
      <c r="D37" s="172"/>
      <c r="E37" s="172"/>
      <c r="F37" s="172"/>
      <c r="G37" s="132"/>
      <c r="H37" s="132"/>
      <c r="I37" s="132"/>
      <c r="J37" s="185"/>
      <c r="K37" s="185"/>
      <c r="L37" s="186"/>
    </row>
    <row r="38" spans="2:12" x14ac:dyDescent="0.4">
      <c r="B38" s="139"/>
      <c r="C38" s="140"/>
      <c r="D38" s="172"/>
      <c r="E38" s="172"/>
      <c r="F38" s="172"/>
      <c r="G38" s="132"/>
      <c r="H38" s="132"/>
      <c r="I38" s="132"/>
      <c r="J38" s="185"/>
      <c r="K38" s="185"/>
      <c r="L38" s="186"/>
    </row>
    <row r="39" spans="2:12" x14ac:dyDescent="0.4">
      <c r="B39" s="139"/>
      <c r="C39" s="140"/>
      <c r="D39" s="172"/>
      <c r="E39" s="172"/>
      <c r="F39" s="172"/>
      <c r="G39" s="132"/>
      <c r="H39" s="132"/>
      <c r="I39" s="132"/>
      <c r="J39" s="185"/>
      <c r="K39" s="185"/>
      <c r="L39" s="186"/>
    </row>
    <row r="40" spans="2:12" x14ac:dyDescent="0.4">
      <c r="B40" s="139"/>
      <c r="C40" s="140"/>
      <c r="D40" s="172"/>
      <c r="E40" s="172"/>
      <c r="F40" s="172"/>
      <c r="G40" s="132"/>
      <c r="H40" s="132"/>
      <c r="I40" s="132"/>
      <c r="J40" s="185"/>
      <c r="K40" s="185"/>
      <c r="L40" s="186"/>
    </row>
    <row r="41" spans="2:12" x14ac:dyDescent="0.4">
      <c r="B41" s="139"/>
      <c r="C41" s="140"/>
      <c r="D41" s="172"/>
      <c r="E41" s="172"/>
      <c r="F41" s="172"/>
      <c r="G41" s="132"/>
      <c r="H41" s="132"/>
      <c r="I41" s="132"/>
      <c r="J41" s="185"/>
      <c r="K41" s="185"/>
      <c r="L41" s="186"/>
    </row>
    <row r="42" spans="2:12" x14ac:dyDescent="0.4">
      <c r="B42" s="139"/>
      <c r="C42" s="140"/>
      <c r="D42" s="172"/>
      <c r="E42" s="172"/>
      <c r="F42" s="172"/>
      <c r="G42" s="132"/>
      <c r="H42" s="132"/>
      <c r="I42" s="132"/>
      <c r="J42" s="185"/>
      <c r="K42" s="185"/>
      <c r="L42" s="186"/>
    </row>
    <row r="43" spans="2:12" x14ac:dyDescent="0.4">
      <c r="B43" s="139"/>
      <c r="C43" s="140"/>
      <c r="D43" s="172"/>
      <c r="E43" s="172"/>
      <c r="F43" s="172"/>
      <c r="G43" s="132"/>
      <c r="H43" s="132"/>
      <c r="I43" s="132"/>
      <c r="J43" s="185"/>
      <c r="K43" s="185"/>
      <c r="L43" s="186"/>
    </row>
    <row r="44" spans="2:12" x14ac:dyDescent="0.4">
      <c r="B44" s="139"/>
      <c r="C44" s="140"/>
      <c r="D44" s="172"/>
      <c r="E44" s="172"/>
      <c r="F44" s="172"/>
      <c r="G44" s="132"/>
      <c r="H44" s="132"/>
      <c r="I44" s="132"/>
      <c r="J44" s="185"/>
      <c r="K44" s="185"/>
      <c r="L44" s="186"/>
    </row>
    <row r="45" spans="2:12" x14ac:dyDescent="0.4">
      <c r="B45" s="139"/>
      <c r="C45" s="140"/>
      <c r="D45" s="172"/>
      <c r="E45" s="172"/>
      <c r="F45" s="172"/>
      <c r="G45" s="132"/>
      <c r="H45" s="132"/>
      <c r="I45" s="132"/>
      <c r="J45" s="185"/>
      <c r="K45" s="185"/>
      <c r="L45" s="186"/>
    </row>
    <row r="46" spans="2:12" x14ac:dyDescent="0.4">
      <c r="B46" s="139"/>
      <c r="C46" s="140"/>
      <c r="D46" s="172"/>
      <c r="E46" s="172"/>
      <c r="F46" s="172"/>
      <c r="G46" s="132"/>
      <c r="H46" s="132"/>
      <c r="I46" s="132"/>
      <c r="J46" s="185"/>
      <c r="K46" s="185"/>
      <c r="L46" s="186"/>
    </row>
    <row r="47" spans="2:12" x14ac:dyDescent="0.4">
      <c r="B47" s="139"/>
      <c r="C47" s="140"/>
      <c r="D47" s="172"/>
      <c r="E47" s="172"/>
      <c r="F47" s="172"/>
      <c r="G47" s="132"/>
      <c r="H47" s="132"/>
      <c r="I47" s="132"/>
      <c r="J47" s="185"/>
      <c r="K47" s="185"/>
      <c r="L47" s="186"/>
    </row>
    <row r="48" spans="2:12" x14ac:dyDescent="0.4">
      <c r="B48" s="139"/>
      <c r="C48" s="140"/>
      <c r="D48" s="172"/>
      <c r="E48" s="172"/>
      <c r="F48" s="172"/>
      <c r="G48" s="132"/>
      <c r="H48" s="132"/>
      <c r="I48" s="132"/>
      <c r="J48" s="185"/>
      <c r="K48" s="185"/>
      <c r="L48" s="186"/>
    </row>
    <row r="49" spans="2:12" x14ac:dyDescent="0.4">
      <c r="B49" s="139"/>
      <c r="C49" s="140"/>
      <c r="D49" s="172"/>
      <c r="E49" s="172"/>
      <c r="F49" s="172"/>
      <c r="G49" s="132"/>
      <c r="H49" s="132"/>
      <c r="I49" s="132"/>
      <c r="J49" s="185"/>
      <c r="K49" s="185"/>
      <c r="L49" s="186"/>
    </row>
    <row r="50" spans="2:12" x14ac:dyDescent="0.4">
      <c r="B50" s="139"/>
      <c r="C50" s="140"/>
      <c r="D50" s="172"/>
      <c r="E50" s="172"/>
      <c r="F50" s="172"/>
      <c r="G50" s="132"/>
      <c r="H50" s="132"/>
      <c r="I50" s="132"/>
      <c r="J50" s="185"/>
      <c r="K50" s="185"/>
      <c r="L50" s="186"/>
    </row>
    <row r="51" spans="2:12" x14ac:dyDescent="0.4">
      <c r="B51" s="139"/>
      <c r="C51" s="140"/>
      <c r="D51" s="172"/>
      <c r="E51" s="172"/>
      <c r="F51" s="172"/>
      <c r="G51" s="132"/>
      <c r="H51" s="132"/>
      <c r="I51" s="132"/>
      <c r="J51" s="185"/>
      <c r="K51" s="185"/>
      <c r="L51" s="186"/>
    </row>
    <row r="52" spans="2:12" x14ac:dyDescent="0.4">
      <c r="B52" s="139"/>
      <c r="C52" s="140"/>
      <c r="D52" s="172"/>
      <c r="E52" s="172"/>
      <c r="F52" s="172"/>
      <c r="G52" s="132"/>
      <c r="H52" s="132"/>
      <c r="I52" s="132"/>
      <c r="J52" s="185"/>
      <c r="K52" s="185"/>
      <c r="L52" s="186"/>
    </row>
    <row r="53" spans="2:12" x14ac:dyDescent="0.4">
      <c r="B53" s="139"/>
      <c r="C53" s="140"/>
      <c r="D53" s="172"/>
      <c r="E53" s="172"/>
      <c r="F53" s="172"/>
      <c r="G53" s="132"/>
      <c r="H53" s="132"/>
      <c r="I53" s="132"/>
      <c r="J53" s="185"/>
      <c r="K53" s="185"/>
      <c r="L53" s="186"/>
    </row>
    <row r="54" spans="2:12" x14ac:dyDescent="0.4">
      <c r="B54" s="139"/>
      <c r="C54" s="140"/>
      <c r="D54" s="172"/>
      <c r="E54" s="172"/>
      <c r="F54" s="172"/>
      <c r="G54" s="132"/>
      <c r="H54" s="132"/>
      <c r="I54" s="132"/>
      <c r="J54" s="185"/>
      <c r="K54" s="185"/>
      <c r="L54" s="186"/>
    </row>
    <row r="55" spans="2:12" x14ac:dyDescent="0.4">
      <c r="B55" s="139"/>
      <c r="C55" s="140"/>
      <c r="D55" s="172"/>
      <c r="E55" s="172"/>
      <c r="F55" s="172"/>
      <c r="G55" s="132"/>
      <c r="H55" s="132"/>
      <c r="I55" s="132"/>
      <c r="J55" s="185"/>
      <c r="K55" s="185"/>
      <c r="L55" s="186"/>
    </row>
    <row r="56" spans="2:12" x14ac:dyDescent="0.4">
      <c r="B56" s="139"/>
      <c r="C56" s="140"/>
      <c r="D56" s="172"/>
      <c r="E56" s="172"/>
      <c r="F56" s="172"/>
      <c r="G56" s="132"/>
      <c r="H56" s="132"/>
      <c r="I56" s="132"/>
      <c r="J56" s="185"/>
      <c r="K56" s="185"/>
      <c r="L56" s="186"/>
    </row>
    <row r="57" spans="2:12" x14ac:dyDescent="0.4">
      <c r="B57" s="139"/>
      <c r="C57" s="140"/>
      <c r="D57" s="172"/>
      <c r="E57" s="172"/>
      <c r="F57" s="172"/>
      <c r="G57" s="132"/>
      <c r="H57" s="132"/>
      <c r="I57" s="132"/>
      <c r="J57" s="185"/>
      <c r="K57" s="185"/>
      <c r="L57" s="186"/>
    </row>
    <row r="58" spans="2:12" x14ac:dyDescent="0.4">
      <c r="B58" s="139"/>
      <c r="C58" s="140"/>
      <c r="D58" s="172"/>
      <c r="E58" s="172"/>
      <c r="F58" s="172"/>
      <c r="G58" s="132"/>
      <c r="H58" s="132"/>
      <c r="I58" s="132"/>
      <c r="J58" s="185"/>
      <c r="K58" s="185"/>
      <c r="L58" s="186"/>
    </row>
    <row r="59" spans="2:12" x14ac:dyDescent="0.4">
      <c r="B59" s="139"/>
      <c r="C59" s="140"/>
      <c r="D59" s="172"/>
      <c r="E59" s="172"/>
      <c r="F59" s="172"/>
      <c r="G59" s="132"/>
      <c r="H59" s="132"/>
      <c r="I59" s="132"/>
      <c r="J59" s="185"/>
      <c r="K59" s="185"/>
      <c r="L59" s="186"/>
    </row>
    <row r="60" spans="2:12" x14ac:dyDescent="0.4">
      <c r="B60" s="139"/>
      <c r="C60" s="140"/>
      <c r="D60" s="172"/>
      <c r="E60" s="172"/>
      <c r="F60" s="172"/>
      <c r="G60" s="132"/>
      <c r="H60" s="132"/>
      <c r="I60" s="132"/>
      <c r="J60" s="185"/>
      <c r="K60" s="185"/>
      <c r="L60" s="186"/>
    </row>
    <row r="61" spans="2:12" x14ac:dyDescent="0.4">
      <c r="B61" s="139"/>
      <c r="C61" s="140"/>
      <c r="D61" s="172"/>
      <c r="E61" s="172"/>
      <c r="F61" s="172"/>
      <c r="G61" s="132"/>
      <c r="H61" s="132"/>
      <c r="I61" s="132"/>
      <c r="J61" s="185"/>
      <c r="K61" s="185"/>
      <c r="L61" s="186"/>
    </row>
    <row r="62" spans="2:12" x14ac:dyDescent="0.4">
      <c r="B62" s="139"/>
      <c r="C62" s="140"/>
      <c r="D62" s="172"/>
      <c r="E62" s="172"/>
      <c r="F62" s="172"/>
      <c r="G62" s="132"/>
      <c r="H62" s="132"/>
      <c r="I62" s="132"/>
      <c r="J62" s="185"/>
      <c r="K62" s="185"/>
      <c r="L62" s="186"/>
    </row>
    <row r="63" spans="2:12" x14ac:dyDescent="0.4">
      <c r="B63" s="139"/>
      <c r="C63" s="140"/>
      <c r="D63" s="172"/>
      <c r="E63" s="172"/>
      <c r="F63" s="172"/>
      <c r="G63" s="132"/>
      <c r="H63" s="132"/>
      <c r="I63" s="132"/>
      <c r="J63" s="185"/>
      <c r="K63" s="185"/>
      <c r="L63" s="186"/>
    </row>
    <row r="64" spans="2:12" x14ac:dyDescent="0.4">
      <c r="B64" s="139"/>
      <c r="C64" s="140"/>
      <c r="D64" s="172"/>
      <c r="E64" s="172"/>
      <c r="F64" s="172"/>
      <c r="G64" s="132"/>
      <c r="H64" s="132"/>
      <c r="I64" s="132"/>
      <c r="J64" s="185"/>
      <c r="K64" s="185"/>
      <c r="L64" s="186"/>
    </row>
    <row r="65" spans="2:12" x14ac:dyDescent="0.4">
      <c r="B65" s="139"/>
      <c r="C65" s="140"/>
      <c r="D65" s="172"/>
      <c r="E65" s="172"/>
      <c r="F65" s="172"/>
      <c r="G65" s="132"/>
      <c r="H65" s="132"/>
      <c r="I65" s="132"/>
      <c r="J65" s="185"/>
      <c r="K65" s="185"/>
      <c r="L65" s="186"/>
    </row>
    <row r="66" spans="2:12" x14ac:dyDescent="0.4">
      <c r="B66" s="139"/>
      <c r="C66" s="140"/>
      <c r="D66" s="172"/>
      <c r="E66" s="172"/>
      <c r="F66" s="172"/>
      <c r="G66" s="132"/>
      <c r="H66" s="132"/>
      <c r="I66" s="132"/>
      <c r="J66" s="185"/>
      <c r="K66" s="185"/>
      <c r="L66" s="186"/>
    </row>
    <row r="67" spans="2:12" x14ac:dyDescent="0.4">
      <c r="B67" s="139"/>
      <c r="C67" s="140"/>
      <c r="D67" s="172"/>
      <c r="E67" s="172"/>
      <c r="F67" s="172"/>
      <c r="G67" s="132"/>
      <c r="H67" s="132"/>
      <c r="I67" s="132"/>
      <c r="J67" s="185"/>
      <c r="K67" s="185"/>
      <c r="L67" s="186"/>
    </row>
    <row r="68" spans="2:12" x14ac:dyDescent="0.4">
      <c r="B68" s="139"/>
      <c r="C68" s="140"/>
      <c r="D68" s="172"/>
      <c r="E68" s="172"/>
      <c r="F68" s="172"/>
      <c r="G68" s="132"/>
      <c r="H68" s="132"/>
      <c r="I68" s="132"/>
      <c r="J68" s="185"/>
      <c r="K68" s="185"/>
      <c r="L68" s="186"/>
    </row>
    <row r="69" spans="2:12" x14ac:dyDescent="0.4">
      <c r="B69" s="139"/>
      <c r="C69" s="140"/>
      <c r="D69" s="172"/>
      <c r="E69" s="172"/>
      <c r="F69" s="172"/>
      <c r="G69" s="132"/>
      <c r="H69" s="132"/>
      <c r="I69" s="132"/>
      <c r="J69" s="185"/>
      <c r="K69" s="185"/>
      <c r="L69" s="186"/>
    </row>
    <row r="70" spans="2:12" x14ac:dyDescent="0.4">
      <c r="B70" s="139"/>
      <c r="C70" s="140"/>
      <c r="D70" s="172"/>
      <c r="E70" s="172"/>
      <c r="F70" s="172"/>
      <c r="G70" s="132"/>
      <c r="H70" s="132"/>
      <c r="I70" s="132"/>
      <c r="J70" s="185"/>
      <c r="K70" s="185"/>
      <c r="L70" s="186"/>
    </row>
    <row r="71" spans="2:12" x14ac:dyDescent="0.4">
      <c r="B71" s="139"/>
      <c r="C71" s="140"/>
      <c r="D71" s="172"/>
      <c r="E71" s="172"/>
      <c r="F71" s="172"/>
      <c r="G71" s="132"/>
      <c r="H71" s="132"/>
      <c r="I71" s="132"/>
      <c r="J71" s="185"/>
      <c r="K71" s="185"/>
      <c r="L71" s="186"/>
    </row>
    <row r="72" spans="2:12" x14ac:dyDescent="0.4">
      <c r="B72" s="139"/>
      <c r="C72" s="140"/>
      <c r="D72" s="172"/>
      <c r="E72" s="172"/>
      <c r="F72" s="172"/>
      <c r="G72" s="132"/>
      <c r="H72" s="132"/>
      <c r="I72" s="132"/>
      <c r="J72" s="185"/>
      <c r="K72" s="185"/>
      <c r="L72" s="186"/>
    </row>
    <row r="73" spans="2:12" x14ac:dyDescent="0.4">
      <c r="B73" s="139"/>
      <c r="C73" s="140"/>
      <c r="D73" s="172"/>
      <c r="E73" s="172"/>
      <c r="F73" s="172"/>
      <c r="G73" s="132"/>
      <c r="H73" s="132"/>
      <c r="I73" s="132"/>
      <c r="J73" s="185"/>
      <c r="K73" s="185"/>
      <c r="L73" s="186"/>
    </row>
    <row r="74" spans="2:12" x14ac:dyDescent="0.4">
      <c r="B74" s="139"/>
      <c r="C74" s="140"/>
      <c r="D74" s="172"/>
      <c r="E74" s="172"/>
      <c r="F74" s="172"/>
      <c r="G74" s="132"/>
      <c r="H74" s="132"/>
      <c r="I74" s="132"/>
      <c r="J74" s="185"/>
      <c r="K74" s="185"/>
      <c r="L74" s="186"/>
    </row>
    <row r="75" spans="2:12" x14ac:dyDescent="0.4">
      <c r="B75" s="139"/>
      <c r="C75" s="140"/>
      <c r="D75" s="172"/>
      <c r="E75" s="172"/>
      <c r="F75" s="172"/>
      <c r="G75" s="132"/>
      <c r="H75" s="132"/>
      <c r="I75" s="132"/>
      <c r="J75" s="185"/>
      <c r="K75" s="185"/>
      <c r="L75" s="186"/>
    </row>
    <row r="76" spans="2:12" x14ac:dyDescent="0.4">
      <c r="B76" s="139"/>
      <c r="C76" s="140"/>
      <c r="D76" s="172"/>
      <c r="E76" s="172"/>
      <c r="F76" s="172"/>
      <c r="G76" s="132"/>
      <c r="H76" s="132"/>
      <c r="I76" s="132"/>
      <c r="J76" s="185"/>
      <c r="K76" s="185"/>
      <c r="L76" s="186"/>
    </row>
    <row r="77" spans="2:12" x14ac:dyDescent="0.4">
      <c r="B77" s="139"/>
      <c r="C77" s="140"/>
      <c r="D77" s="172"/>
      <c r="E77" s="172"/>
      <c r="F77" s="172"/>
      <c r="G77" s="132"/>
      <c r="H77" s="132"/>
      <c r="I77" s="132"/>
      <c r="J77" s="185"/>
      <c r="K77" s="185"/>
      <c r="L77" s="186"/>
    </row>
    <row r="78" spans="2:12" x14ac:dyDescent="0.4">
      <c r="B78" s="139"/>
      <c r="C78" s="140"/>
      <c r="D78" s="172"/>
      <c r="E78" s="172"/>
      <c r="F78" s="172"/>
      <c r="G78" s="132"/>
      <c r="H78" s="132"/>
      <c r="I78" s="132"/>
      <c r="J78" s="185"/>
      <c r="K78" s="185"/>
      <c r="L78" s="186"/>
    </row>
    <row r="79" spans="2:12" x14ac:dyDescent="0.4">
      <c r="B79" s="139"/>
      <c r="C79" s="140"/>
      <c r="D79" s="172"/>
      <c r="E79" s="172"/>
      <c r="F79" s="172"/>
      <c r="G79" s="132"/>
      <c r="H79" s="132"/>
      <c r="I79" s="132"/>
      <c r="J79" s="185"/>
      <c r="K79" s="185"/>
      <c r="L79" s="186"/>
    </row>
    <row r="80" spans="2:12" x14ac:dyDescent="0.4">
      <c r="B80" s="139"/>
      <c r="C80" s="140"/>
      <c r="D80" s="172"/>
      <c r="E80" s="172"/>
      <c r="F80" s="172"/>
      <c r="G80" s="132"/>
      <c r="H80" s="132"/>
      <c r="I80" s="132"/>
      <c r="J80" s="185"/>
      <c r="K80" s="185"/>
      <c r="L80" s="186"/>
    </row>
    <row r="81" spans="2:12" x14ac:dyDescent="0.4">
      <c r="B81" s="139"/>
      <c r="C81" s="140"/>
      <c r="D81" s="172"/>
      <c r="E81" s="172"/>
      <c r="F81" s="172"/>
      <c r="G81" s="132"/>
      <c r="H81" s="132"/>
      <c r="I81" s="132"/>
      <c r="J81" s="185"/>
      <c r="K81" s="185"/>
      <c r="L81" s="186"/>
    </row>
    <row r="82" spans="2:12" x14ac:dyDescent="0.4">
      <c r="B82" s="139"/>
      <c r="C82" s="140"/>
      <c r="D82" s="172"/>
      <c r="E82" s="172"/>
      <c r="F82" s="172"/>
      <c r="G82" s="132"/>
      <c r="H82" s="132"/>
      <c r="I82" s="132"/>
      <c r="J82" s="185"/>
      <c r="K82" s="185"/>
      <c r="L82" s="186"/>
    </row>
    <row r="83" spans="2:12" x14ac:dyDescent="0.4">
      <c r="B83" s="139"/>
      <c r="C83" s="140"/>
      <c r="D83" s="172"/>
      <c r="E83" s="172"/>
      <c r="F83" s="172"/>
      <c r="G83" s="132"/>
      <c r="H83" s="132"/>
      <c r="I83" s="132"/>
      <c r="J83" s="185"/>
      <c r="K83" s="185"/>
      <c r="L83" s="186"/>
    </row>
    <row r="84" spans="2:12" x14ac:dyDescent="0.4">
      <c r="B84" s="139"/>
      <c r="C84" s="140"/>
      <c r="D84" s="172"/>
      <c r="E84" s="172"/>
      <c r="F84" s="172"/>
      <c r="G84" s="132"/>
      <c r="H84" s="132"/>
      <c r="I84" s="132"/>
      <c r="J84" s="185"/>
      <c r="K84" s="185"/>
      <c r="L84" s="186"/>
    </row>
    <row r="85" spans="2:12" x14ac:dyDescent="0.4">
      <c r="B85" s="139"/>
      <c r="C85" s="140"/>
      <c r="D85" s="172"/>
      <c r="E85" s="172"/>
      <c r="F85" s="172"/>
      <c r="G85" s="132"/>
      <c r="H85" s="132"/>
      <c r="I85" s="132"/>
      <c r="J85" s="185"/>
      <c r="K85" s="185"/>
      <c r="L85" s="186"/>
    </row>
    <row r="86" spans="2:12" x14ac:dyDescent="0.4">
      <c r="B86" s="139"/>
      <c r="C86" s="140"/>
      <c r="D86" s="172"/>
      <c r="E86" s="172"/>
      <c r="F86" s="172"/>
      <c r="G86" s="132"/>
      <c r="H86" s="132"/>
      <c r="I86" s="132"/>
      <c r="J86" s="185"/>
      <c r="K86" s="185"/>
      <c r="L86" s="186"/>
    </row>
    <row r="87" spans="2:12" x14ac:dyDescent="0.4">
      <c r="B87" s="139"/>
      <c r="C87" s="140"/>
      <c r="D87" s="172"/>
      <c r="E87" s="172"/>
      <c r="F87" s="172"/>
      <c r="G87" s="132"/>
      <c r="H87" s="132"/>
      <c r="I87" s="132"/>
      <c r="J87" s="185"/>
      <c r="K87" s="185"/>
      <c r="L87" s="186"/>
    </row>
    <row r="88" spans="2:12" x14ac:dyDescent="0.4">
      <c r="B88" s="139"/>
      <c r="C88" s="140"/>
      <c r="D88" s="172"/>
      <c r="E88" s="172"/>
      <c r="F88" s="172"/>
      <c r="G88" s="132"/>
      <c r="H88" s="132"/>
      <c r="I88" s="132"/>
      <c r="J88" s="185"/>
      <c r="K88" s="185"/>
      <c r="L88" s="186"/>
    </row>
    <row r="89" spans="2:12" x14ac:dyDescent="0.4">
      <c r="B89" s="139"/>
      <c r="C89" s="140"/>
      <c r="D89" s="172"/>
      <c r="E89" s="172"/>
      <c r="F89" s="172"/>
      <c r="G89" s="132"/>
      <c r="H89" s="132"/>
      <c r="I89" s="132"/>
      <c r="J89" s="185"/>
      <c r="K89" s="185"/>
      <c r="L89" s="186"/>
    </row>
    <row r="90" spans="2:12" x14ac:dyDescent="0.4">
      <c r="B90" s="139"/>
      <c r="C90" s="140"/>
      <c r="D90" s="172"/>
      <c r="E90" s="172"/>
      <c r="F90" s="172"/>
      <c r="G90" s="132"/>
      <c r="H90" s="132"/>
      <c r="I90" s="132"/>
      <c r="J90" s="185"/>
      <c r="K90" s="185"/>
      <c r="L90" s="186"/>
    </row>
    <row r="91" spans="2:12" x14ac:dyDescent="0.4">
      <c r="B91" s="139"/>
      <c r="C91" s="140"/>
      <c r="D91" s="172"/>
      <c r="E91" s="172"/>
      <c r="F91" s="172"/>
      <c r="G91" s="132"/>
      <c r="H91" s="132"/>
      <c r="I91" s="132"/>
      <c r="J91" s="185"/>
      <c r="K91" s="185"/>
      <c r="L91" s="186"/>
    </row>
    <row r="92" spans="2:12" x14ac:dyDescent="0.4">
      <c r="B92" s="139"/>
      <c r="C92" s="140"/>
      <c r="D92" s="172"/>
      <c r="E92" s="172"/>
      <c r="F92" s="172"/>
      <c r="G92" s="132"/>
      <c r="H92" s="132"/>
      <c r="I92" s="132"/>
      <c r="J92" s="185"/>
      <c r="K92" s="185"/>
      <c r="L92" s="186"/>
    </row>
    <row r="93" spans="2:12" x14ac:dyDescent="0.4">
      <c r="B93" s="139"/>
      <c r="C93" s="140"/>
      <c r="D93" s="172"/>
      <c r="E93" s="172"/>
      <c r="F93" s="172"/>
      <c r="G93" s="132"/>
      <c r="H93" s="132"/>
      <c r="I93" s="132"/>
      <c r="J93" s="185"/>
      <c r="K93" s="185"/>
      <c r="L93" s="186"/>
    </row>
    <row r="94" spans="2:12" x14ac:dyDescent="0.4">
      <c r="B94" s="139"/>
      <c r="C94" s="140"/>
      <c r="D94" s="172"/>
      <c r="E94" s="172"/>
      <c r="F94" s="172"/>
      <c r="G94" s="132"/>
      <c r="H94" s="132"/>
      <c r="I94" s="132"/>
      <c r="J94" s="185"/>
      <c r="K94" s="185"/>
      <c r="L94" s="186"/>
    </row>
    <row r="95" spans="2:12" x14ac:dyDescent="0.4">
      <c r="B95" s="139"/>
      <c r="C95" s="140"/>
      <c r="D95" s="172"/>
      <c r="E95" s="172"/>
      <c r="F95" s="172"/>
      <c r="G95" s="132"/>
      <c r="H95" s="132"/>
      <c r="I95" s="132"/>
      <c r="J95" s="185"/>
      <c r="K95" s="185"/>
      <c r="L95" s="186"/>
    </row>
    <row r="96" spans="2:12" x14ac:dyDescent="0.4">
      <c r="B96" s="139"/>
      <c r="C96" s="140"/>
      <c r="D96" s="172"/>
      <c r="E96" s="172"/>
      <c r="F96" s="172"/>
      <c r="G96" s="132"/>
      <c r="H96" s="132"/>
      <c r="I96" s="132"/>
      <c r="J96" s="185"/>
      <c r="K96" s="185"/>
      <c r="L96" s="186"/>
    </row>
    <row r="97" spans="2:12" x14ac:dyDescent="0.4">
      <c r="B97" s="139"/>
      <c r="C97" s="140"/>
      <c r="D97" s="172"/>
      <c r="E97" s="172"/>
      <c r="F97" s="172"/>
      <c r="G97" s="132"/>
      <c r="H97" s="132"/>
      <c r="I97" s="132"/>
      <c r="J97" s="185"/>
      <c r="K97" s="185"/>
      <c r="L97" s="186"/>
    </row>
    <row r="98" spans="2:12" x14ac:dyDescent="0.4">
      <c r="B98" s="139"/>
      <c r="C98" s="140"/>
      <c r="D98" s="172"/>
      <c r="E98" s="172"/>
      <c r="F98" s="172"/>
      <c r="G98" s="132"/>
      <c r="H98" s="132"/>
      <c r="I98" s="132"/>
      <c r="J98" s="185"/>
      <c r="K98" s="185"/>
      <c r="L98" s="186"/>
    </row>
    <row r="99" spans="2:12" x14ac:dyDescent="0.4">
      <c r="B99" s="139"/>
      <c r="C99" s="140"/>
      <c r="D99" s="172"/>
      <c r="E99" s="172"/>
      <c r="F99" s="172"/>
      <c r="G99" s="132"/>
      <c r="H99" s="132"/>
      <c r="I99" s="132"/>
      <c r="J99" s="185"/>
      <c r="K99" s="185"/>
      <c r="L99" s="186"/>
    </row>
    <row r="100" spans="2:12" x14ac:dyDescent="0.4">
      <c r="B100" s="139"/>
      <c r="C100" s="140"/>
      <c r="D100" s="172"/>
      <c r="E100" s="172"/>
      <c r="F100" s="172"/>
      <c r="G100" s="132"/>
      <c r="H100" s="132"/>
      <c r="I100" s="132"/>
      <c r="J100" s="185"/>
      <c r="K100" s="185"/>
      <c r="L100" s="186"/>
    </row>
    <row r="101" spans="2:12" x14ac:dyDescent="0.4">
      <c r="B101" s="139"/>
      <c r="C101" s="140"/>
      <c r="D101" s="172"/>
      <c r="E101" s="172"/>
      <c r="F101" s="172"/>
      <c r="G101" s="132"/>
      <c r="H101" s="132"/>
      <c r="I101" s="132"/>
      <c r="J101" s="185"/>
      <c r="K101" s="185"/>
      <c r="L101" s="186"/>
    </row>
    <row r="102" spans="2:12" x14ac:dyDescent="0.4">
      <c r="B102" s="139"/>
      <c r="C102" s="140"/>
      <c r="D102" s="172"/>
      <c r="E102" s="172"/>
      <c r="F102" s="172"/>
      <c r="G102" s="132"/>
      <c r="H102" s="132"/>
      <c r="I102" s="132"/>
      <c r="J102" s="185"/>
      <c r="K102" s="185"/>
      <c r="L102" s="186"/>
    </row>
    <row r="103" spans="2:12" x14ac:dyDescent="0.4">
      <c r="B103" s="139"/>
      <c r="C103" s="140"/>
      <c r="D103" s="172"/>
      <c r="E103" s="172"/>
      <c r="F103" s="172"/>
      <c r="G103" s="132"/>
      <c r="H103" s="132"/>
      <c r="I103" s="132"/>
      <c r="J103" s="185"/>
      <c r="K103" s="185"/>
      <c r="L103" s="186"/>
    </row>
    <row r="104" spans="2:12" x14ac:dyDescent="0.4">
      <c r="B104" s="139"/>
      <c r="C104" s="140"/>
      <c r="D104" s="172"/>
      <c r="E104" s="172"/>
      <c r="F104" s="172"/>
      <c r="G104" s="132"/>
      <c r="H104" s="132"/>
      <c r="I104" s="132"/>
      <c r="J104" s="185"/>
      <c r="K104" s="185"/>
      <c r="L104" s="186"/>
    </row>
    <row r="105" spans="2:12" x14ac:dyDescent="0.4">
      <c r="B105" s="139"/>
      <c r="C105" s="140"/>
      <c r="D105" s="172"/>
      <c r="E105" s="172"/>
      <c r="F105" s="172"/>
      <c r="G105" s="132"/>
      <c r="H105" s="132"/>
      <c r="I105" s="132"/>
      <c r="J105" s="185"/>
      <c r="K105" s="185"/>
      <c r="L105" s="186"/>
    </row>
    <row r="106" spans="2:12" x14ac:dyDescent="0.4">
      <c r="B106" s="139"/>
      <c r="C106" s="140"/>
      <c r="D106" s="172"/>
      <c r="E106" s="172"/>
      <c r="F106" s="172"/>
      <c r="G106" s="132"/>
      <c r="H106" s="132"/>
      <c r="I106" s="132"/>
      <c r="J106" s="185"/>
      <c r="K106" s="185"/>
      <c r="L106" s="186"/>
    </row>
    <row r="107" spans="2:12" x14ac:dyDescent="0.4">
      <c r="B107" s="139"/>
      <c r="C107" s="140"/>
      <c r="D107" s="172"/>
      <c r="E107" s="172"/>
      <c r="F107" s="172"/>
      <c r="G107" s="132"/>
      <c r="H107" s="132"/>
      <c r="I107" s="132"/>
      <c r="J107" s="185"/>
      <c r="K107" s="185"/>
      <c r="L107" s="186"/>
    </row>
    <row r="108" spans="2:12" x14ac:dyDescent="0.4">
      <c r="B108" s="139"/>
      <c r="C108" s="140"/>
      <c r="D108" s="172"/>
      <c r="E108" s="172"/>
      <c r="F108" s="172"/>
      <c r="G108" s="132"/>
      <c r="H108" s="132"/>
      <c r="I108" s="132"/>
      <c r="J108" s="185"/>
      <c r="K108" s="185"/>
      <c r="L108" s="186"/>
    </row>
    <row r="109" spans="2:12" x14ac:dyDescent="0.4">
      <c r="B109" s="139"/>
      <c r="C109" s="140"/>
      <c r="D109" s="172"/>
      <c r="E109" s="172"/>
      <c r="F109" s="172"/>
      <c r="G109" s="132"/>
      <c r="H109" s="132"/>
      <c r="I109" s="132"/>
      <c r="J109" s="185"/>
      <c r="K109" s="185"/>
      <c r="L109" s="186"/>
    </row>
    <row r="110" spans="2:12" x14ac:dyDescent="0.4">
      <c r="B110" s="139"/>
      <c r="C110" s="140"/>
      <c r="D110" s="172"/>
      <c r="E110" s="172"/>
      <c r="F110" s="172"/>
      <c r="G110" s="132"/>
      <c r="H110" s="132"/>
      <c r="I110" s="132"/>
      <c r="J110" s="185"/>
      <c r="K110" s="185"/>
      <c r="L110" s="186"/>
    </row>
    <row r="111" spans="2:12" x14ac:dyDescent="0.4">
      <c r="B111" s="139"/>
      <c r="C111" s="140"/>
      <c r="D111" s="172"/>
      <c r="E111" s="172"/>
      <c r="F111" s="172"/>
      <c r="G111" s="132"/>
      <c r="H111" s="132"/>
      <c r="I111" s="132"/>
      <c r="J111" s="185"/>
      <c r="K111" s="185"/>
      <c r="L111" s="186"/>
    </row>
    <row r="112" spans="2:12" x14ac:dyDescent="0.4">
      <c r="B112" s="139"/>
      <c r="C112" s="140"/>
      <c r="D112" s="172"/>
      <c r="E112" s="172"/>
      <c r="F112" s="172"/>
      <c r="G112" s="132"/>
      <c r="H112" s="132"/>
      <c r="I112" s="132"/>
      <c r="J112" s="185"/>
      <c r="K112" s="185"/>
      <c r="L112" s="186"/>
    </row>
    <row r="113" spans="2:12" x14ac:dyDescent="0.4">
      <c r="B113" s="139"/>
      <c r="C113" s="140"/>
      <c r="D113" s="172"/>
      <c r="E113" s="172"/>
      <c r="F113" s="172"/>
      <c r="G113" s="132"/>
      <c r="H113" s="132"/>
      <c r="I113" s="132"/>
      <c r="J113" s="185"/>
      <c r="K113" s="185"/>
      <c r="L113" s="186"/>
    </row>
    <row r="114" spans="2:12" x14ac:dyDescent="0.4">
      <c r="B114" s="139"/>
      <c r="C114" s="140"/>
      <c r="D114" s="172"/>
      <c r="E114" s="172"/>
      <c r="F114" s="172"/>
      <c r="G114" s="132"/>
      <c r="H114" s="132"/>
      <c r="I114" s="132"/>
      <c r="J114" s="185"/>
      <c r="K114" s="185"/>
      <c r="L114" s="186"/>
    </row>
    <row r="115" spans="2:12" x14ac:dyDescent="0.4">
      <c r="B115" s="139"/>
      <c r="C115" s="140"/>
      <c r="D115" s="172"/>
      <c r="E115" s="172"/>
      <c r="F115" s="172"/>
      <c r="G115" s="132"/>
      <c r="H115" s="132"/>
      <c r="I115" s="132"/>
      <c r="J115" s="185"/>
      <c r="K115" s="185"/>
      <c r="L115" s="186"/>
    </row>
    <row r="116" spans="2:12" x14ac:dyDescent="0.4">
      <c r="B116" s="139"/>
      <c r="C116" s="140"/>
      <c r="D116" s="172"/>
      <c r="E116" s="172"/>
      <c r="F116" s="172"/>
      <c r="G116" s="132"/>
      <c r="H116" s="132"/>
      <c r="I116" s="132"/>
      <c r="J116" s="185"/>
      <c r="K116" s="185"/>
      <c r="L116" s="186"/>
    </row>
    <row r="117" spans="2:12" x14ac:dyDescent="0.4">
      <c r="B117" s="139"/>
      <c r="C117" s="140"/>
      <c r="D117" s="172"/>
      <c r="E117" s="172"/>
      <c r="F117" s="172"/>
      <c r="G117" s="132"/>
      <c r="H117" s="132"/>
      <c r="I117" s="132"/>
      <c r="J117" s="185"/>
      <c r="K117" s="185"/>
      <c r="L117" s="186"/>
    </row>
    <row r="118" spans="2:12" x14ac:dyDescent="0.4">
      <c r="B118" s="139"/>
      <c r="C118" s="140"/>
      <c r="D118" s="172"/>
      <c r="E118" s="172"/>
      <c r="F118" s="172"/>
      <c r="G118" s="132"/>
      <c r="H118" s="132"/>
      <c r="I118" s="132"/>
      <c r="J118" s="185"/>
      <c r="K118" s="185"/>
      <c r="L118" s="186"/>
    </row>
    <row r="119" spans="2:12" x14ac:dyDescent="0.4">
      <c r="B119" s="139"/>
      <c r="C119" s="140"/>
      <c r="D119" s="172"/>
      <c r="E119" s="172"/>
      <c r="F119" s="172"/>
      <c r="G119" s="132"/>
      <c r="H119" s="132"/>
      <c r="I119" s="132"/>
      <c r="J119" s="185"/>
      <c r="K119" s="185"/>
      <c r="L119" s="186"/>
    </row>
    <row r="120" spans="2:12" x14ac:dyDescent="0.4">
      <c r="B120" s="139"/>
      <c r="C120" s="140"/>
      <c r="D120" s="172"/>
      <c r="E120" s="172"/>
      <c r="F120" s="172"/>
      <c r="G120" s="132"/>
      <c r="H120" s="132"/>
      <c r="I120" s="132"/>
      <c r="J120" s="185"/>
      <c r="K120" s="185"/>
      <c r="L120" s="186"/>
    </row>
    <row r="121" spans="2:12" x14ac:dyDescent="0.4">
      <c r="B121" s="139"/>
      <c r="C121" s="140"/>
      <c r="D121" s="172"/>
      <c r="E121" s="172"/>
      <c r="F121" s="172"/>
      <c r="G121" s="132"/>
      <c r="H121" s="132"/>
      <c r="I121" s="132"/>
      <c r="J121" s="185"/>
      <c r="K121" s="185"/>
      <c r="L121" s="186"/>
    </row>
    <row r="122" spans="2:12" x14ac:dyDescent="0.4">
      <c r="B122" s="139"/>
      <c r="C122" s="140"/>
      <c r="D122" s="172"/>
      <c r="E122" s="172"/>
      <c r="F122" s="172"/>
      <c r="G122" s="132"/>
      <c r="H122" s="132"/>
      <c r="I122" s="132"/>
      <c r="J122" s="185"/>
      <c r="K122" s="185"/>
      <c r="L122" s="186"/>
    </row>
    <row r="123" spans="2:12" x14ac:dyDescent="0.4">
      <c r="B123" s="139"/>
      <c r="C123" s="140"/>
      <c r="D123" s="172"/>
      <c r="E123" s="172"/>
      <c r="F123" s="172"/>
      <c r="G123" s="132"/>
      <c r="H123" s="132"/>
      <c r="I123" s="132"/>
      <c r="J123" s="185"/>
      <c r="K123" s="185"/>
      <c r="L123" s="186"/>
    </row>
    <row r="124" spans="2:12" x14ac:dyDescent="0.4">
      <c r="B124" s="139"/>
      <c r="C124" s="140"/>
      <c r="D124" s="172"/>
      <c r="E124" s="172"/>
      <c r="F124" s="172"/>
      <c r="G124" s="132"/>
      <c r="H124" s="132"/>
      <c r="I124" s="132"/>
      <c r="J124" s="185"/>
      <c r="K124" s="185"/>
      <c r="L124" s="186"/>
    </row>
    <row r="125" spans="2:12" x14ac:dyDescent="0.4">
      <c r="B125" s="139"/>
      <c r="C125" s="140"/>
      <c r="D125" s="172"/>
      <c r="E125" s="172"/>
      <c r="F125" s="172"/>
      <c r="G125" s="132"/>
      <c r="H125" s="132"/>
      <c r="I125" s="132"/>
      <c r="J125" s="185"/>
      <c r="K125" s="185"/>
      <c r="L125" s="186"/>
    </row>
    <row r="126" spans="2:12" x14ac:dyDescent="0.4">
      <c r="B126" s="139"/>
      <c r="C126" s="140"/>
      <c r="D126" s="172"/>
      <c r="E126" s="172"/>
      <c r="F126" s="172"/>
      <c r="G126" s="132"/>
      <c r="H126" s="132"/>
      <c r="I126" s="132"/>
      <c r="J126" s="185"/>
      <c r="K126" s="185"/>
      <c r="L126" s="186"/>
    </row>
    <row r="127" spans="2:12" x14ac:dyDescent="0.4">
      <c r="B127" s="139"/>
      <c r="C127" s="140"/>
      <c r="D127" s="172"/>
      <c r="E127" s="172"/>
      <c r="F127" s="172"/>
      <c r="G127" s="132"/>
      <c r="H127" s="132"/>
      <c r="I127" s="132"/>
      <c r="J127" s="185"/>
      <c r="K127" s="185"/>
      <c r="L127" s="186"/>
    </row>
    <row r="128" spans="2:12" x14ac:dyDescent="0.4">
      <c r="B128" s="139"/>
      <c r="C128" s="140"/>
      <c r="D128" s="172"/>
      <c r="E128" s="172"/>
      <c r="F128" s="172"/>
      <c r="G128" s="132"/>
      <c r="H128" s="132"/>
      <c r="I128" s="132"/>
      <c r="J128" s="185"/>
      <c r="K128" s="185"/>
      <c r="L128" s="186"/>
    </row>
    <row r="129" spans="2:12" x14ac:dyDescent="0.4">
      <c r="B129" s="139"/>
      <c r="C129" s="140"/>
      <c r="D129" s="172"/>
      <c r="E129" s="172"/>
      <c r="F129" s="172"/>
      <c r="G129" s="132"/>
      <c r="H129" s="132"/>
      <c r="I129" s="132"/>
      <c r="J129" s="185"/>
      <c r="K129" s="185"/>
      <c r="L129" s="186"/>
    </row>
    <row r="130" spans="2:12" x14ac:dyDescent="0.4">
      <c r="B130" s="139"/>
      <c r="C130" s="140"/>
      <c r="D130" s="172"/>
      <c r="E130" s="172"/>
      <c r="F130" s="172"/>
      <c r="G130" s="132"/>
      <c r="H130" s="132"/>
      <c r="I130" s="132"/>
      <c r="J130" s="185"/>
      <c r="K130" s="185"/>
      <c r="L130" s="186"/>
    </row>
    <row r="131" spans="2:12" x14ac:dyDescent="0.4">
      <c r="B131" s="139"/>
      <c r="C131" s="140"/>
      <c r="D131" s="172"/>
      <c r="E131" s="172"/>
      <c r="F131" s="172"/>
      <c r="G131" s="132"/>
      <c r="H131" s="132"/>
      <c r="I131" s="132"/>
      <c r="J131" s="185"/>
      <c r="K131" s="185"/>
      <c r="L131" s="186"/>
    </row>
    <row r="132" spans="2:12" x14ac:dyDescent="0.4">
      <c r="B132" s="139"/>
      <c r="C132" s="140"/>
      <c r="D132" s="172"/>
      <c r="E132" s="172"/>
      <c r="F132" s="172"/>
      <c r="G132" s="132"/>
      <c r="H132" s="132"/>
      <c r="I132" s="132"/>
      <c r="J132" s="185"/>
      <c r="K132" s="185"/>
      <c r="L132" s="186"/>
    </row>
    <row r="133" spans="2:12" x14ac:dyDescent="0.4">
      <c r="B133" s="139"/>
      <c r="C133" s="140"/>
      <c r="D133" s="172"/>
      <c r="E133" s="172"/>
      <c r="F133" s="172"/>
      <c r="G133" s="132"/>
      <c r="H133" s="132"/>
      <c r="I133" s="132"/>
      <c r="J133" s="185"/>
      <c r="K133" s="185"/>
      <c r="L133" s="186"/>
    </row>
    <row r="134" spans="2:12" x14ac:dyDescent="0.4">
      <c r="B134" s="139"/>
      <c r="C134" s="140"/>
      <c r="D134" s="172"/>
      <c r="E134" s="172"/>
      <c r="F134" s="172"/>
      <c r="G134" s="132"/>
      <c r="H134" s="132"/>
      <c r="I134" s="132"/>
      <c r="J134" s="185"/>
      <c r="K134" s="185"/>
      <c r="L134" s="186"/>
    </row>
    <row r="135" spans="2:12" x14ac:dyDescent="0.4">
      <c r="B135" s="139"/>
      <c r="C135" s="140"/>
      <c r="D135" s="172"/>
      <c r="E135" s="172"/>
      <c r="F135" s="172"/>
      <c r="G135" s="132"/>
      <c r="H135" s="132"/>
      <c r="I135" s="132"/>
      <c r="J135" s="185"/>
      <c r="K135" s="185"/>
      <c r="L135" s="186"/>
    </row>
    <row r="136" spans="2:12" x14ac:dyDescent="0.4">
      <c r="B136" s="139"/>
      <c r="C136" s="140"/>
      <c r="D136" s="172"/>
      <c r="E136" s="172"/>
      <c r="F136" s="172"/>
      <c r="G136" s="132"/>
      <c r="H136" s="132"/>
      <c r="I136" s="132"/>
      <c r="J136" s="185"/>
      <c r="K136" s="185"/>
      <c r="L136" s="186"/>
    </row>
    <row r="137" spans="2:12" x14ac:dyDescent="0.4">
      <c r="B137" s="139"/>
      <c r="C137" s="140"/>
      <c r="D137" s="172"/>
      <c r="E137" s="172"/>
      <c r="F137" s="172"/>
      <c r="G137" s="132"/>
      <c r="H137" s="132"/>
      <c r="I137" s="132"/>
      <c r="J137" s="185"/>
      <c r="K137" s="185"/>
      <c r="L137" s="186"/>
    </row>
    <row r="138" spans="2:12" x14ac:dyDescent="0.4">
      <c r="B138" s="139"/>
      <c r="C138" s="140"/>
      <c r="D138" s="172"/>
      <c r="E138" s="172"/>
      <c r="F138" s="172"/>
      <c r="G138" s="132"/>
      <c r="H138" s="132"/>
      <c r="I138" s="132"/>
      <c r="J138" s="185"/>
      <c r="K138" s="185"/>
      <c r="L138" s="186"/>
    </row>
    <row r="139" spans="2:12" x14ac:dyDescent="0.4">
      <c r="B139" s="139"/>
      <c r="C139" s="140"/>
      <c r="D139" s="172"/>
      <c r="E139" s="172"/>
      <c r="F139" s="172"/>
      <c r="G139" s="132"/>
      <c r="H139" s="132"/>
      <c r="I139" s="132"/>
      <c r="J139" s="185"/>
      <c r="K139" s="185"/>
      <c r="L139" s="186"/>
    </row>
    <row r="140" spans="2:12" x14ac:dyDescent="0.4">
      <c r="B140" s="139"/>
      <c r="C140" s="140"/>
      <c r="D140" s="172"/>
      <c r="E140" s="172"/>
      <c r="F140" s="172"/>
      <c r="G140" s="132"/>
      <c r="H140" s="132"/>
      <c r="I140" s="132"/>
      <c r="J140" s="185"/>
      <c r="K140" s="185"/>
      <c r="L140" s="186"/>
    </row>
    <row r="141" spans="2:12" x14ac:dyDescent="0.4">
      <c r="B141" s="139"/>
      <c r="C141" s="140"/>
      <c r="D141" s="172"/>
      <c r="E141" s="172"/>
      <c r="F141" s="172"/>
      <c r="G141" s="132"/>
      <c r="H141" s="132"/>
      <c r="I141" s="132"/>
      <c r="J141" s="185"/>
      <c r="K141" s="185"/>
      <c r="L141" s="186"/>
    </row>
    <row r="142" spans="2:12" x14ac:dyDescent="0.4">
      <c r="B142" s="139"/>
      <c r="C142" s="140"/>
      <c r="D142" s="172"/>
      <c r="E142" s="172"/>
      <c r="F142" s="172"/>
      <c r="G142" s="132"/>
      <c r="H142" s="132"/>
      <c r="I142" s="132"/>
      <c r="J142" s="185"/>
      <c r="K142" s="185"/>
      <c r="L142" s="186"/>
    </row>
    <row r="143" spans="2:12" x14ac:dyDescent="0.4">
      <c r="B143" s="139"/>
      <c r="C143" s="140"/>
      <c r="D143" s="172"/>
      <c r="E143" s="172"/>
      <c r="F143" s="172"/>
      <c r="G143" s="132"/>
      <c r="H143" s="132"/>
      <c r="I143" s="132"/>
      <c r="J143" s="185"/>
      <c r="K143" s="185"/>
      <c r="L143" s="186"/>
    </row>
    <row r="144" spans="2:12" x14ac:dyDescent="0.4">
      <c r="B144" s="139"/>
      <c r="C144" s="140"/>
      <c r="D144" s="172"/>
      <c r="E144" s="172"/>
      <c r="F144" s="172"/>
      <c r="G144" s="132"/>
      <c r="H144" s="132"/>
      <c r="I144" s="132"/>
      <c r="J144" s="185"/>
      <c r="K144" s="185"/>
      <c r="L144" s="186"/>
    </row>
    <row r="145" spans="2:12" x14ac:dyDescent="0.4">
      <c r="B145" s="139"/>
      <c r="C145" s="140"/>
      <c r="D145" s="172"/>
      <c r="E145" s="172"/>
      <c r="F145" s="172"/>
      <c r="G145" s="132"/>
      <c r="H145" s="132"/>
      <c r="I145" s="132"/>
      <c r="J145" s="185"/>
      <c r="K145" s="185"/>
      <c r="L145" s="186"/>
    </row>
    <row r="146" spans="2:12" x14ac:dyDescent="0.4">
      <c r="B146" s="139"/>
      <c r="C146" s="140"/>
      <c r="D146" s="172"/>
      <c r="E146" s="172"/>
      <c r="F146" s="172"/>
      <c r="G146" s="132"/>
      <c r="H146" s="132"/>
      <c r="I146" s="132"/>
      <c r="J146" s="185"/>
      <c r="K146" s="185"/>
      <c r="L146" s="186"/>
    </row>
    <row r="147" spans="2:12" x14ac:dyDescent="0.4">
      <c r="B147" s="139"/>
      <c r="C147" s="140"/>
      <c r="D147" s="172"/>
      <c r="E147" s="172"/>
      <c r="F147" s="172"/>
      <c r="G147" s="132"/>
      <c r="H147" s="132"/>
      <c r="I147" s="132"/>
      <c r="J147" s="185"/>
      <c r="K147" s="185"/>
      <c r="L147" s="186"/>
    </row>
    <row r="148" spans="2:12" x14ac:dyDescent="0.4">
      <c r="B148" s="139"/>
      <c r="C148" s="140"/>
      <c r="D148" s="172"/>
      <c r="E148" s="172"/>
      <c r="F148" s="172"/>
      <c r="G148" s="132"/>
      <c r="H148" s="132"/>
      <c r="I148" s="132"/>
      <c r="J148" s="185"/>
      <c r="K148" s="185"/>
      <c r="L148" s="186"/>
    </row>
    <row r="149" spans="2:12" x14ac:dyDescent="0.4">
      <c r="B149" s="139"/>
      <c r="C149" s="140"/>
      <c r="D149" s="172"/>
      <c r="E149" s="172"/>
      <c r="F149" s="172"/>
      <c r="G149" s="132"/>
      <c r="H149" s="132"/>
      <c r="I149" s="132"/>
      <c r="J149" s="185"/>
      <c r="K149" s="185"/>
      <c r="L149" s="186"/>
    </row>
    <row r="150" spans="2:12" x14ac:dyDescent="0.4">
      <c r="B150" s="139"/>
      <c r="C150" s="140"/>
      <c r="D150" s="172"/>
      <c r="E150" s="172"/>
      <c r="F150" s="172"/>
      <c r="G150" s="132"/>
      <c r="H150" s="132"/>
      <c r="I150" s="132"/>
      <c r="J150" s="185"/>
      <c r="K150" s="185"/>
      <c r="L150" s="186"/>
    </row>
    <row r="151" spans="2:12" x14ac:dyDescent="0.4">
      <c r="B151" s="139"/>
      <c r="C151" s="140"/>
      <c r="D151" s="172"/>
      <c r="E151" s="172"/>
      <c r="F151" s="172"/>
      <c r="G151" s="132"/>
      <c r="H151" s="132"/>
      <c r="I151" s="132"/>
      <c r="J151" s="185"/>
      <c r="K151" s="185"/>
      <c r="L151" s="186"/>
    </row>
    <row r="152" spans="2:12" x14ac:dyDescent="0.4">
      <c r="B152" s="139"/>
      <c r="C152" s="140"/>
      <c r="D152" s="172"/>
      <c r="E152" s="172"/>
      <c r="F152" s="172"/>
      <c r="G152" s="132"/>
      <c r="H152" s="132"/>
      <c r="I152" s="132"/>
      <c r="J152" s="185"/>
      <c r="K152" s="185"/>
      <c r="L152" s="186"/>
    </row>
    <row r="153" spans="2:12" x14ac:dyDescent="0.4">
      <c r="B153" s="139"/>
      <c r="C153" s="140"/>
      <c r="D153" s="172"/>
      <c r="E153" s="172"/>
      <c r="F153" s="172"/>
      <c r="G153" s="132"/>
      <c r="H153" s="132"/>
      <c r="I153" s="132"/>
      <c r="J153" s="185"/>
      <c r="K153" s="185"/>
      <c r="L153" s="186"/>
    </row>
    <row r="154" spans="2:12" x14ac:dyDescent="0.4">
      <c r="B154" s="139"/>
      <c r="C154" s="140"/>
      <c r="D154" s="172"/>
      <c r="E154" s="172"/>
      <c r="F154" s="172"/>
      <c r="G154" s="132"/>
      <c r="H154" s="132"/>
      <c r="I154" s="132"/>
      <c r="J154" s="185"/>
      <c r="K154" s="185"/>
      <c r="L154" s="186"/>
    </row>
    <row r="155" spans="2:12" x14ac:dyDescent="0.4">
      <c r="B155" s="139"/>
      <c r="C155" s="140"/>
      <c r="D155" s="172"/>
      <c r="E155" s="172"/>
      <c r="F155" s="172"/>
      <c r="G155" s="132"/>
      <c r="H155" s="132"/>
      <c r="I155" s="132"/>
      <c r="J155" s="185"/>
      <c r="K155" s="185"/>
      <c r="L155" s="186"/>
    </row>
    <row r="156" spans="2:12" x14ac:dyDescent="0.4">
      <c r="B156" s="139"/>
      <c r="C156" s="140"/>
      <c r="D156" s="172"/>
      <c r="E156" s="172"/>
      <c r="F156" s="172"/>
      <c r="G156" s="132"/>
      <c r="H156" s="132"/>
      <c r="I156" s="132"/>
      <c r="J156" s="185"/>
      <c r="K156" s="185"/>
      <c r="L156" s="186"/>
    </row>
    <row r="157" spans="2:12" x14ac:dyDescent="0.4">
      <c r="B157" s="139"/>
      <c r="C157" s="140"/>
      <c r="D157" s="172"/>
      <c r="E157" s="172"/>
      <c r="F157" s="172"/>
      <c r="G157" s="132"/>
      <c r="H157" s="132"/>
      <c r="I157" s="132"/>
      <c r="J157" s="185"/>
      <c r="K157" s="185"/>
      <c r="L157" s="186"/>
    </row>
    <row r="158" spans="2:12" x14ac:dyDescent="0.4">
      <c r="B158" s="139"/>
      <c r="C158" s="140"/>
      <c r="D158" s="172"/>
      <c r="E158" s="172"/>
      <c r="F158" s="172"/>
      <c r="G158" s="132"/>
      <c r="H158" s="132"/>
      <c r="I158" s="132"/>
      <c r="J158" s="185"/>
      <c r="K158" s="185"/>
      <c r="L158" s="186"/>
    </row>
    <row r="159" spans="2:12" x14ac:dyDescent="0.4">
      <c r="B159" s="139"/>
      <c r="C159" s="140"/>
      <c r="D159" s="172"/>
      <c r="E159" s="172"/>
      <c r="F159" s="172"/>
      <c r="G159" s="132"/>
      <c r="H159" s="132"/>
      <c r="I159" s="132"/>
      <c r="J159" s="185"/>
      <c r="K159" s="185"/>
      <c r="L159" s="186"/>
    </row>
    <row r="160" spans="2:12" x14ac:dyDescent="0.4">
      <c r="B160" s="139"/>
      <c r="C160" s="140"/>
      <c r="D160" s="172"/>
      <c r="E160" s="172"/>
      <c r="F160" s="172"/>
      <c r="G160" s="132"/>
      <c r="H160" s="132"/>
      <c r="I160" s="132"/>
      <c r="J160" s="185"/>
      <c r="K160" s="185"/>
      <c r="L160" s="186"/>
    </row>
    <row r="161" spans="2:12" x14ac:dyDescent="0.4">
      <c r="B161" s="139"/>
      <c r="C161" s="140"/>
      <c r="D161" s="172"/>
      <c r="E161" s="172"/>
      <c r="F161" s="172"/>
      <c r="G161" s="132"/>
      <c r="H161" s="132"/>
      <c r="I161" s="132"/>
      <c r="J161" s="185"/>
      <c r="K161" s="185"/>
      <c r="L161" s="186"/>
    </row>
    <row r="162" spans="2:12" x14ac:dyDescent="0.4">
      <c r="B162" s="139"/>
      <c r="C162" s="140"/>
      <c r="D162" s="172"/>
      <c r="E162" s="172"/>
      <c r="F162" s="172"/>
      <c r="G162" s="132"/>
      <c r="H162" s="132"/>
      <c r="I162" s="132"/>
      <c r="J162" s="185"/>
      <c r="K162" s="185"/>
      <c r="L162" s="186"/>
    </row>
    <row r="163" spans="2:12" x14ac:dyDescent="0.4">
      <c r="B163" s="139"/>
      <c r="C163" s="140"/>
      <c r="D163" s="172"/>
      <c r="E163" s="172"/>
      <c r="F163" s="172"/>
      <c r="G163" s="132"/>
      <c r="H163" s="132"/>
      <c r="I163" s="132"/>
      <c r="J163" s="185"/>
      <c r="K163" s="185"/>
      <c r="L163" s="186"/>
    </row>
    <row r="164" spans="2:12" x14ac:dyDescent="0.4">
      <c r="B164" s="139"/>
      <c r="C164" s="140"/>
      <c r="D164" s="172"/>
      <c r="E164" s="172"/>
      <c r="F164" s="172"/>
      <c r="G164" s="132"/>
      <c r="H164" s="132"/>
      <c r="I164" s="132"/>
      <c r="J164" s="185"/>
      <c r="K164" s="185"/>
      <c r="L164" s="186"/>
    </row>
    <row r="165" spans="2:12" x14ac:dyDescent="0.4">
      <c r="B165" s="139"/>
      <c r="C165" s="140"/>
      <c r="D165" s="172"/>
      <c r="E165" s="172"/>
      <c r="F165" s="172"/>
      <c r="G165" s="132"/>
      <c r="H165" s="132"/>
      <c r="I165" s="132"/>
      <c r="J165" s="185"/>
      <c r="K165" s="185"/>
      <c r="L165" s="186"/>
    </row>
    <row r="166" spans="2:12" x14ac:dyDescent="0.4">
      <c r="B166" s="139"/>
      <c r="C166" s="140"/>
      <c r="D166" s="172"/>
      <c r="E166" s="172"/>
      <c r="F166" s="172"/>
      <c r="G166" s="132"/>
      <c r="H166" s="132"/>
      <c r="I166" s="132"/>
      <c r="J166" s="185"/>
      <c r="K166" s="185"/>
      <c r="L166" s="186"/>
    </row>
    <row r="167" spans="2:12" x14ac:dyDescent="0.4">
      <c r="B167" s="139"/>
      <c r="C167" s="140"/>
      <c r="D167" s="172"/>
      <c r="E167" s="172"/>
      <c r="F167" s="172"/>
      <c r="G167" s="132"/>
      <c r="H167" s="132"/>
      <c r="I167" s="132"/>
      <c r="J167" s="185"/>
      <c r="K167" s="185"/>
      <c r="L167" s="186"/>
    </row>
    <row r="168" spans="2:12" x14ac:dyDescent="0.4">
      <c r="B168" s="139"/>
      <c r="C168" s="140"/>
      <c r="D168" s="172"/>
      <c r="E168" s="172"/>
      <c r="F168" s="172"/>
      <c r="G168" s="132"/>
      <c r="H168" s="132"/>
      <c r="I168" s="132"/>
      <c r="J168" s="185"/>
      <c r="K168" s="185"/>
      <c r="L168" s="186"/>
    </row>
    <row r="169" spans="2:12" x14ac:dyDescent="0.4">
      <c r="B169" s="139"/>
      <c r="C169" s="140"/>
      <c r="D169" s="172"/>
      <c r="E169" s="172"/>
      <c r="F169" s="172"/>
      <c r="G169" s="132"/>
      <c r="H169" s="132"/>
      <c r="I169" s="132"/>
      <c r="J169" s="185"/>
      <c r="K169" s="185"/>
      <c r="L169" s="186"/>
    </row>
    <row r="170" spans="2:12" x14ac:dyDescent="0.4">
      <c r="B170" s="139"/>
      <c r="C170" s="140"/>
      <c r="D170" s="172"/>
      <c r="E170" s="172"/>
      <c r="F170" s="172"/>
      <c r="G170" s="132"/>
      <c r="H170" s="132"/>
      <c r="I170" s="132"/>
      <c r="J170" s="185"/>
      <c r="K170" s="185"/>
      <c r="L170" s="186"/>
    </row>
    <row r="171" spans="2:12" x14ac:dyDescent="0.4">
      <c r="B171" s="139"/>
      <c r="C171" s="140"/>
      <c r="D171" s="172"/>
      <c r="E171" s="172"/>
      <c r="F171" s="172"/>
      <c r="G171" s="132"/>
      <c r="H171" s="132"/>
      <c r="I171" s="132"/>
      <c r="J171" s="185"/>
      <c r="K171" s="185"/>
      <c r="L171" s="186"/>
    </row>
    <row r="172" spans="2:12" x14ac:dyDescent="0.4">
      <c r="B172" s="139"/>
      <c r="C172" s="140"/>
      <c r="D172" s="172"/>
      <c r="E172" s="172"/>
      <c r="F172" s="172"/>
      <c r="G172" s="132"/>
      <c r="H172" s="132"/>
      <c r="I172" s="132"/>
      <c r="J172" s="185"/>
      <c r="K172" s="185"/>
      <c r="L172" s="186"/>
    </row>
    <row r="173" spans="2:12" x14ac:dyDescent="0.4">
      <c r="B173" s="139"/>
      <c r="C173" s="140"/>
      <c r="D173" s="172"/>
      <c r="E173" s="172"/>
      <c r="F173" s="172"/>
      <c r="G173" s="132"/>
      <c r="H173" s="132"/>
      <c r="I173" s="132"/>
      <c r="J173" s="185"/>
      <c r="K173" s="185"/>
      <c r="L173" s="186"/>
    </row>
    <row r="174" spans="2:12" x14ac:dyDescent="0.4">
      <c r="B174" s="139"/>
      <c r="C174" s="140"/>
      <c r="D174" s="172"/>
      <c r="E174" s="172"/>
      <c r="F174" s="172"/>
      <c r="G174" s="132"/>
      <c r="H174" s="132"/>
      <c r="I174" s="132"/>
      <c r="J174" s="185"/>
      <c r="K174" s="185"/>
      <c r="L174" s="186"/>
    </row>
    <row r="175" spans="2:12" x14ac:dyDescent="0.4">
      <c r="B175" s="139"/>
      <c r="C175" s="140"/>
      <c r="D175" s="172"/>
      <c r="E175" s="172"/>
      <c r="F175" s="172"/>
      <c r="G175" s="132"/>
      <c r="H175" s="132"/>
      <c r="I175" s="132"/>
      <c r="J175" s="185"/>
      <c r="K175" s="185"/>
      <c r="L175" s="186"/>
    </row>
    <row r="176" spans="2:12" x14ac:dyDescent="0.4">
      <c r="B176" s="139"/>
      <c r="C176" s="140"/>
      <c r="D176" s="172"/>
      <c r="E176" s="172"/>
      <c r="F176" s="172"/>
      <c r="G176" s="132"/>
      <c r="H176" s="132"/>
      <c r="I176" s="132"/>
      <c r="J176" s="185"/>
      <c r="K176" s="185"/>
      <c r="L176" s="186"/>
    </row>
    <row r="177" spans="2:12" x14ac:dyDescent="0.4">
      <c r="B177" s="139"/>
      <c r="C177" s="140"/>
      <c r="D177" s="172"/>
      <c r="E177" s="172"/>
      <c r="F177" s="172"/>
      <c r="G177" s="132"/>
      <c r="H177" s="132"/>
      <c r="I177" s="132"/>
      <c r="J177" s="185"/>
      <c r="K177" s="185"/>
      <c r="L177" s="186"/>
    </row>
    <row r="178" spans="2:12" x14ac:dyDescent="0.4">
      <c r="B178" s="139"/>
      <c r="C178" s="140"/>
      <c r="D178" s="172"/>
      <c r="E178" s="172"/>
      <c r="F178" s="172"/>
      <c r="G178" s="132"/>
      <c r="H178" s="132"/>
      <c r="I178" s="132"/>
      <c r="J178" s="185"/>
      <c r="K178" s="185"/>
      <c r="L178" s="186"/>
    </row>
    <row r="179" spans="2:12" x14ac:dyDescent="0.4">
      <c r="B179" s="139"/>
      <c r="C179" s="140"/>
      <c r="D179" s="172"/>
      <c r="E179" s="172"/>
      <c r="F179" s="172"/>
      <c r="G179" s="132"/>
      <c r="H179" s="132"/>
      <c r="I179" s="132"/>
      <c r="J179" s="185"/>
      <c r="K179" s="185"/>
      <c r="L179" s="186"/>
    </row>
    <row r="180" spans="2:12" x14ac:dyDescent="0.4">
      <c r="B180" s="139"/>
      <c r="C180" s="140"/>
      <c r="D180" s="172"/>
      <c r="E180" s="172"/>
      <c r="F180" s="172"/>
      <c r="G180" s="132"/>
      <c r="H180" s="132"/>
      <c r="I180" s="132"/>
      <c r="J180" s="185"/>
      <c r="K180" s="185"/>
      <c r="L180" s="186"/>
    </row>
    <row r="181" spans="2:12" x14ac:dyDescent="0.4">
      <c r="B181" s="139"/>
      <c r="C181" s="140"/>
      <c r="D181" s="172"/>
      <c r="E181" s="172"/>
      <c r="F181" s="172"/>
      <c r="G181" s="132"/>
      <c r="H181" s="132"/>
      <c r="I181" s="132"/>
      <c r="J181" s="185"/>
      <c r="K181" s="185"/>
      <c r="L181" s="186"/>
    </row>
    <row r="182" spans="2:12" x14ac:dyDescent="0.4">
      <c r="B182" s="139"/>
      <c r="C182" s="140"/>
      <c r="D182" s="172"/>
      <c r="E182" s="172"/>
      <c r="F182" s="172"/>
      <c r="G182" s="132"/>
      <c r="H182" s="132"/>
      <c r="I182" s="132"/>
      <c r="J182" s="185"/>
      <c r="K182" s="185"/>
      <c r="L182" s="186"/>
    </row>
    <row r="183" spans="2:12" x14ac:dyDescent="0.4">
      <c r="B183" s="139"/>
      <c r="C183" s="140"/>
      <c r="D183" s="172"/>
      <c r="E183" s="172"/>
      <c r="F183" s="172"/>
      <c r="G183" s="132"/>
      <c r="H183" s="132"/>
      <c r="I183" s="132"/>
      <c r="J183" s="185"/>
      <c r="K183" s="185"/>
      <c r="L183" s="186"/>
    </row>
    <row r="184" spans="2:12" x14ac:dyDescent="0.4">
      <c r="B184" s="139"/>
      <c r="C184" s="140"/>
      <c r="D184" s="172"/>
      <c r="E184" s="172"/>
      <c r="F184" s="172"/>
      <c r="G184" s="132"/>
      <c r="H184" s="132"/>
      <c r="I184" s="132"/>
      <c r="J184" s="185"/>
      <c r="K184" s="185"/>
      <c r="L184" s="186"/>
    </row>
    <row r="185" spans="2:12" x14ac:dyDescent="0.4">
      <c r="B185" s="139"/>
      <c r="C185" s="140"/>
      <c r="D185" s="172"/>
      <c r="E185" s="172"/>
      <c r="F185" s="172"/>
      <c r="G185" s="132"/>
      <c r="H185" s="132"/>
      <c r="I185" s="132"/>
      <c r="J185" s="185"/>
      <c r="K185" s="185"/>
      <c r="L185" s="186"/>
    </row>
    <row r="186" spans="2:12" x14ac:dyDescent="0.4">
      <c r="B186" s="139"/>
      <c r="C186" s="140"/>
      <c r="D186" s="172"/>
      <c r="E186" s="172"/>
      <c r="F186" s="172"/>
      <c r="G186" s="132"/>
      <c r="H186" s="132"/>
      <c r="I186" s="132"/>
      <c r="J186" s="185"/>
      <c r="K186" s="185"/>
      <c r="L186" s="186"/>
    </row>
    <row r="187" spans="2:12" x14ac:dyDescent="0.4">
      <c r="B187" s="139"/>
      <c r="C187" s="140"/>
      <c r="D187" s="172"/>
      <c r="E187" s="172"/>
      <c r="F187" s="172"/>
      <c r="G187" s="132"/>
      <c r="H187" s="132"/>
      <c r="I187" s="132"/>
      <c r="J187" s="185"/>
      <c r="K187" s="185"/>
      <c r="L187" s="186"/>
    </row>
    <row r="188" spans="2:12" x14ac:dyDescent="0.4">
      <c r="B188" s="139"/>
      <c r="C188" s="140"/>
      <c r="D188" s="172"/>
      <c r="E188" s="172"/>
      <c r="F188" s="172"/>
      <c r="G188" s="132"/>
      <c r="H188" s="132"/>
      <c r="I188" s="132"/>
      <c r="J188" s="185"/>
      <c r="K188" s="185"/>
      <c r="L188" s="186"/>
    </row>
    <row r="189" spans="2:12" x14ac:dyDescent="0.4">
      <c r="B189" s="139"/>
      <c r="C189" s="140"/>
      <c r="D189" s="172"/>
      <c r="E189" s="172"/>
      <c r="F189" s="172"/>
      <c r="G189" s="132"/>
      <c r="H189" s="132"/>
      <c r="I189" s="132"/>
      <c r="J189" s="185"/>
      <c r="K189" s="185"/>
      <c r="L189" s="186"/>
    </row>
    <row r="190" spans="2:12" x14ac:dyDescent="0.4">
      <c r="B190" s="139"/>
      <c r="C190" s="140"/>
      <c r="D190" s="172"/>
      <c r="E190" s="172"/>
      <c r="F190" s="172"/>
      <c r="G190" s="132"/>
      <c r="H190" s="132"/>
      <c r="I190" s="132"/>
      <c r="J190" s="185"/>
      <c r="K190" s="185"/>
      <c r="L190" s="186"/>
    </row>
    <row r="191" spans="2:12" x14ac:dyDescent="0.4">
      <c r="B191" s="139"/>
      <c r="C191" s="140"/>
      <c r="D191" s="172"/>
      <c r="E191" s="172"/>
      <c r="F191" s="172"/>
      <c r="G191" s="132"/>
      <c r="H191" s="132"/>
      <c r="I191" s="132"/>
      <c r="J191" s="185"/>
      <c r="K191" s="185"/>
      <c r="L191" s="186"/>
    </row>
    <row r="192" spans="2:12" x14ac:dyDescent="0.4">
      <c r="B192" s="139"/>
      <c r="C192" s="140"/>
      <c r="D192" s="172"/>
      <c r="E192" s="172"/>
      <c r="F192" s="172"/>
      <c r="G192" s="132"/>
      <c r="H192" s="132"/>
      <c r="I192" s="132"/>
      <c r="J192" s="185"/>
      <c r="K192" s="185"/>
      <c r="L192" s="186"/>
    </row>
    <row r="193" spans="2:12" x14ac:dyDescent="0.4">
      <c r="B193" s="139"/>
      <c r="C193" s="140"/>
      <c r="D193" s="172"/>
      <c r="E193" s="172"/>
      <c r="F193" s="172"/>
      <c r="G193" s="132"/>
      <c r="H193" s="132"/>
      <c r="I193" s="132"/>
      <c r="J193" s="185"/>
      <c r="K193" s="185"/>
      <c r="L193" s="186"/>
    </row>
    <row r="194" spans="2:12" x14ac:dyDescent="0.4">
      <c r="B194" s="139"/>
      <c r="C194" s="140"/>
      <c r="D194" s="172"/>
      <c r="E194" s="172"/>
      <c r="F194" s="172"/>
      <c r="G194" s="132"/>
      <c r="H194" s="132"/>
      <c r="I194" s="132"/>
      <c r="J194" s="185"/>
      <c r="K194" s="185"/>
      <c r="L194" s="186"/>
    </row>
    <row r="195" spans="2:12" x14ac:dyDescent="0.4">
      <c r="B195" s="139"/>
      <c r="C195" s="140"/>
      <c r="D195" s="172"/>
      <c r="E195" s="172"/>
      <c r="F195" s="172"/>
      <c r="G195" s="132"/>
      <c r="H195" s="132"/>
      <c r="I195" s="132"/>
      <c r="J195" s="185"/>
      <c r="K195" s="185"/>
      <c r="L195" s="186"/>
    </row>
    <row r="196" spans="2:12" x14ac:dyDescent="0.4">
      <c r="B196" s="139"/>
      <c r="C196" s="140"/>
      <c r="D196" s="172"/>
      <c r="E196" s="172"/>
      <c r="F196" s="172"/>
      <c r="G196" s="132"/>
      <c r="H196" s="132"/>
      <c r="I196" s="132"/>
      <c r="J196" s="185"/>
      <c r="K196" s="185"/>
      <c r="L196" s="186"/>
    </row>
    <row r="197" spans="2:12" x14ac:dyDescent="0.4">
      <c r="B197" s="139"/>
      <c r="C197" s="140"/>
      <c r="D197" s="172"/>
      <c r="E197" s="172"/>
      <c r="F197" s="172"/>
      <c r="G197" s="132"/>
      <c r="H197" s="132"/>
      <c r="I197" s="132"/>
      <c r="J197" s="185"/>
      <c r="K197" s="185"/>
      <c r="L197" s="186"/>
    </row>
    <row r="198" spans="2:12" x14ac:dyDescent="0.4">
      <c r="B198" s="139"/>
      <c r="C198" s="140"/>
      <c r="D198" s="172"/>
      <c r="E198" s="172"/>
      <c r="F198" s="172"/>
      <c r="G198" s="132"/>
      <c r="H198" s="132"/>
      <c r="I198" s="132"/>
      <c r="J198" s="185"/>
      <c r="K198" s="185"/>
      <c r="L198" s="186"/>
    </row>
    <row r="199" spans="2:12" x14ac:dyDescent="0.4">
      <c r="B199" s="139"/>
      <c r="C199" s="140"/>
      <c r="D199" s="172"/>
      <c r="E199" s="172"/>
      <c r="F199" s="172"/>
      <c r="G199" s="132"/>
      <c r="H199" s="132"/>
      <c r="I199" s="132"/>
      <c r="J199" s="185"/>
      <c r="K199" s="185"/>
      <c r="L199" s="186"/>
    </row>
    <row r="200" spans="2:12" x14ac:dyDescent="0.4">
      <c r="B200" s="139"/>
      <c r="C200" s="140"/>
      <c r="D200" s="172"/>
      <c r="E200" s="172"/>
      <c r="F200" s="172"/>
      <c r="G200" s="132"/>
      <c r="H200" s="132"/>
      <c r="I200" s="132"/>
      <c r="J200" s="185"/>
      <c r="K200" s="185"/>
      <c r="L200" s="186"/>
    </row>
    <row r="201" spans="2:12" x14ac:dyDescent="0.4">
      <c r="B201" s="139"/>
      <c r="C201" s="140"/>
      <c r="D201" s="172"/>
      <c r="E201" s="172"/>
      <c r="F201" s="172"/>
      <c r="G201" s="132"/>
      <c r="H201" s="132"/>
      <c r="I201" s="132"/>
      <c r="J201" s="185"/>
      <c r="K201" s="185"/>
      <c r="L201" s="186"/>
    </row>
    <row r="202" spans="2:12" x14ac:dyDescent="0.4">
      <c r="B202" s="139"/>
      <c r="C202" s="140"/>
      <c r="D202" s="172"/>
      <c r="E202" s="172"/>
      <c r="F202" s="172"/>
      <c r="G202" s="132"/>
      <c r="H202" s="132"/>
      <c r="I202" s="132"/>
      <c r="J202" s="185"/>
      <c r="K202" s="185"/>
      <c r="L202" s="186"/>
    </row>
    <row r="203" spans="2:12" x14ac:dyDescent="0.4">
      <c r="B203" s="139"/>
      <c r="C203" s="140"/>
      <c r="D203" s="172"/>
      <c r="E203" s="172"/>
      <c r="F203" s="172"/>
      <c r="G203" s="132"/>
      <c r="H203" s="132"/>
      <c r="I203" s="132"/>
      <c r="J203" s="185"/>
      <c r="K203" s="185"/>
      <c r="L203" s="186"/>
    </row>
    <row r="204" spans="2:12" x14ac:dyDescent="0.4">
      <c r="B204" s="139"/>
      <c r="C204" s="140"/>
      <c r="D204" s="172"/>
      <c r="E204" s="172"/>
      <c r="F204" s="172"/>
      <c r="G204" s="132"/>
      <c r="H204" s="132"/>
      <c r="I204" s="132"/>
      <c r="J204" s="185"/>
      <c r="K204" s="185"/>
      <c r="L204" s="186"/>
    </row>
    <row r="205" spans="2:12" x14ac:dyDescent="0.4">
      <c r="B205" s="139"/>
      <c r="C205" s="140"/>
      <c r="D205" s="172"/>
      <c r="E205" s="172"/>
      <c r="F205" s="172"/>
      <c r="G205" s="132"/>
      <c r="H205" s="132"/>
      <c r="I205" s="132"/>
      <c r="J205" s="185"/>
      <c r="K205" s="185"/>
      <c r="L205" s="186"/>
    </row>
    <row r="206" spans="2:12" x14ac:dyDescent="0.4">
      <c r="B206" s="139"/>
      <c r="C206" s="140"/>
      <c r="D206" s="172"/>
      <c r="E206" s="172"/>
      <c r="F206" s="172"/>
      <c r="G206" s="132"/>
      <c r="H206" s="132"/>
      <c r="I206" s="132"/>
      <c r="J206" s="185"/>
      <c r="K206" s="185"/>
      <c r="L206" s="186"/>
    </row>
    <row r="207" spans="2:12" x14ac:dyDescent="0.4">
      <c r="B207" s="139"/>
      <c r="C207" s="140"/>
      <c r="D207" s="172"/>
      <c r="E207" s="172"/>
      <c r="F207" s="172"/>
      <c r="G207" s="132"/>
      <c r="H207" s="132"/>
      <c r="I207" s="132"/>
      <c r="J207" s="185"/>
      <c r="K207" s="185"/>
      <c r="L207" s="186"/>
    </row>
    <row r="208" spans="2:12" x14ac:dyDescent="0.4">
      <c r="B208" s="139"/>
      <c r="C208" s="140"/>
      <c r="D208" s="172"/>
      <c r="E208" s="172"/>
      <c r="F208" s="172"/>
      <c r="G208" s="132"/>
      <c r="H208" s="132"/>
      <c r="I208" s="132"/>
      <c r="J208" s="185"/>
      <c r="K208" s="185"/>
      <c r="L208" s="186"/>
    </row>
    <row r="209" spans="2:12" x14ac:dyDescent="0.4">
      <c r="B209" s="139"/>
      <c r="C209" s="140"/>
      <c r="D209" s="172"/>
      <c r="E209" s="172"/>
      <c r="F209" s="172"/>
      <c r="G209" s="132"/>
      <c r="H209" s="132"/>
      <c r="I209" s="132"/>
      <c r="J209" s="185"/>
      <c r="K209" s="185"/>
      <c r="L209" s="186"/>
    </row>
    <row r="210" spans="2:12" x14ac:dyDescent="0.4">
      <c r="B210" s="139"/>
      <c r="C210" s="140"/>
      <c r="D210" s="172"/>
      <c r="E210" s="172"/>
      <c r="F210" s="172"/>
      <c r="G210" s="132"/>
      <c r="H210" s="132"/>
      <c r="I210" s="132"/>
      <c r="J210" s="185"/>
      <c r="K210" s="185"/>
      <c r="L210" s="186"/>
    </row>
    <row r="211" spans="2:12" x14ac:dyDescent="0.4">
      <c r="B211" s="139"/>
      <c r="C211" s="140"/>
      <c r="D211" s="172"/>
      <c r="E211" s="172"/>
      <c r="F211" s="172"/>
      <c r="G211" s="132"/>
      <c r="H211" s="132"/>
      <c r="I211" s="132"/>
      <c r="J211" s="185"/>
      <c r="K211" s="185"/>
      <c r="L211" s="186"/>
    </row>
    <row r="212" spans="2:12" x14ac:dyDescent="0.4">
      <c r="B212" s="139"/>
      <c r="C212" s="140"/>
      <c r="D212" s="172"/>
      <c r="E212" s="172"/>
      <c r="F212" s="172"/>
      <c r="G212" s="132"/>
      <c r="H212" s="132"/>
      <c r="I212" s="132"/>
      <c r="J212" s="185"/>
      <c r="K212" s="185"/>
      <c r="L212" s="186"/>
    </row>
    <row r="213" spans="2:12" x14ac:dyDescent="0.4">
      <c r="B213" s="139"/>
      <c r="C213" s="140"/>
      <c r="D213" s="172"/>
      <c r="E213" s="172"/>
      <c r="F213" s="172"/>
      <c r="G213" s="132"/>
      <c r="H213" s="132"/>
      <c r="I213" s="132"/>
      <c r="J213" s="185"/>
      <c r="K213" s="185"/>
      <c r="L213" s="186"/>
    </row>
    <row r="214" spans="2:12" x14ac:dyDescent="0.4">
      <c r="B214" s="139"/>
      <c r="C214" s="140"/>
      <c r="D214" s="172"/>
      <c r="E214" s="172"/>
      <c r="F214" s="172"/>
      <c r="G214" s="132"/>
      <c r="H214" s="132"/>
      <c r="I214" s="132"/>
      <c r="J214" s="185"/>
      <c r="K214" s="185"/>
      <c r="L214" s="186"/>
    </row>
    <row r="215" spans="2:12" x14ac:dyDescent="0.4">
      <c r="B215" s="139"/>
      <c r="C215" s="140"/>
      <c r="D215" s="172"/>
      <c r="E215" s="172"/>
      <c r="F215" s="172"/>
      <c r="G215" s="132"/>
      <c r="H215" s="132"/>
      <c r="I215" s="132"/>
      <c r="J215" s="185"/>
      <c r="K215" s="185"/>
      <c r="L215" s="186"/>
    </row>
    <row r="216" spans="2:12" x14ac:dyDescent="0.4">
      <c r="B216" s="139"/>
      <c r="C216" s="140"/>
      <c r="D216" s="172"/>
      <c r="E216" s="172"/>
      <c r="F216" s="172"/>
      <c r="G216" s="132"/>
      <c r="H216" s="132"/>
      <c r="I216" s="132"/>
      <c r="J216" s="185"/>
      <c r="K216" s="185"/>
      <c r="L216" s="186"/>
    </row>
    <row r="217" spans="2:12" x14ac:dyDescent="0.4">
      <c r="B217" s="139"/>
      <c r="C217" s="140"/>
      <c r="D217" s="172"/>
      <c r="E217" s="172"/>
      <c r="F217" s="172"/>
      <c r="G217" s="132"/>
      <c r="H217" s="132"/>
      <c r="I217" s="132"/>
      <c r="J217" s="185"/>
      <c r="K217" s="185"/>
      <c r="L217" s="186"/>
    </row>
    <row r="218" spans="2:12" x14ac:dyDescent="0.4">
      <c r="B218" s="139"/>
      <c r="C218" s="140"/>
      <c r="D218" s="172"/>
      <c r="E218" s="172"/>
      <c r="F218" s="172"/>
      <c r="G218" s="132"/>
      <c r="H218" s="132"/>
      <c r="I218" s="132"/>
      <c r="J218" s="185"/>
      <c r="K218" s="185"/>
      <c r="L218" s="186"/>
    </row>
    <row r="219" spans="2:12" x14ac:dyDescent="0.4">
      <c r="B219" s="139"/>
      <c r="C219" s="140"/>
      <c r="D219" s="172"/>
      <c r="E219" s="172"/>
      <c r="F219" s="172"/>
      <c r="G219" s="132"/>
      <c r="H219" s="132"/>
      <c r="I219" s="132"/>
      <c r="J219" s="185"/>
      <c r="K219" s="185"/>
      <c r="L219" s="186"/>
    </row>
    <row r="220" spans="2:12" x14ac:dyDescent="0.4">
      <c r="B220" s="139"/>
      <c r="C220" s="140"/>
      <c r="D220" s="172"/>
      <c r="E220" s="172"/>
      <c r="F220" s="172"/>
      <c r="G220" s="132"/>
      <c r="H220" s="132"/>
      <c r="I220" s="132"/>
      <c r="J220" s="185"/>
      <c r="K220" s="185"/>
      <c r="L220" s="186"/>
    </row>
    <row r="221" spans="2:12" x14ac:dyDescent="0.4">
      <c r="B221" s="139"/>
      <c r="C221" s="140"/>
      <c r="D221" s="172"/>
      <c r="E221" s="172"/>
      <c r="F221" s="172"/>
      <c r="G221" s="132"/>
      <c r="H221" s="132"/>
      <c r="I221" s="132"/>
      <c r="J221" s="185"/>
      <c r="K221" s="185"/>
      <c r="L221" s="186"/>
    </row>
    <row r="222" spans="2:12" x14ac:dyDescent="0.4">
      <c r="B222" s="139"/>
      <c r="C222" s="140"/>
      <c r="D222" s="172"/>
      <c r="E222" s="172"/>
      <c r="F222" s="172"/>
      <c r="G222" s="132"/>
      <c r="H222" s="132"/>
      <c r="I222" s="132"/>
      <c r="J222" s="185"/>
      <c r="K222" s="185"/>
      <c r="L222" s="186"/>
    </row>
    <row r="223" spans="2:12" x14ac:dyDescent="0.4">
      <c r="B223" s="139"/>
      <c r="C223" s="140"/>
      <c r="D223" s="172"/>
      <c r="E223" s="172"/>
      <c r="F223" s="172"/>
      <c r="G223" s="132"/>
      <c r="H223" s="132"/>
      <c r="I223" s="132"/>
      <c r="J223" s="185"/>
      <c r="K223" s="185"/>
      <c r="L223" s="186"/>
    </row>
    <row r="224" spans="2:12" x14ac:dyDescent="0.4">
      <c r="B224" s="139"/>
      <c r="C224" s="140"/>
      <c r="D224" s="172"/>
      <c r="E224" s="172"/>
      <c r="F224" s="172"/>
      <c r="G224" s="132"/>
      <c r="H224" s="132"/>
      <c r="I224" s="132"/>
      <c r="J224" s="185"/>
      <c r="K224" s="185"/>
      <c r="L224" s="186"/>
    </row>
    <row r="225" spans="2:12" x14ac:dyDescent="0.4">
      <c r="B225" s="139"/>
      <c r="C225" s="140"/>
      <c r="D225" s="172"/>
      <c r="E225" s="172"/>
      <c r="F225" s="172"/>
      <c r="G225" s="132"/>
      <c r="H225" s="132"/>
      <c r="I225" s="132"/>
      <c r="J225" s="185"/>
      <c r="K225" s="185"/>
      <c r="L225" s="186"/>
    </row>
    <row r="226" spans="2:12" x14ac:dyDescent="0.4">
      <c r="B226" s="139"/>
      <c r="C226" s="140"/>
      <c r="D226" s="172"/>
      <c r="E226" s="172"/>
      <c r="F226" s="172"/>
      <c r="G226" s="132"/>
      <c r="H226" s="132"/>
      <c r="I226" s="132"/>
      <c r="J226" s="185"/>
      <c r="K226" s="185"/>
      <c r="L226" s="186"/>
    </row>
    <row r="227" spans="2:12" x14ac:dyDescent="0.4">
      <c r="B227" s="139"/>
      <c r="C227" s="140"/>
      <c r="D227" s="172"/>
      <c r="E227" s="172"/>
      <c r="F227" s="172"/>
      <c r="G227" s="132"/>
      <c r="H227" s="132"/>
      <c r="I227" s="132"/>
      <c r="J227" s="185"/>
      <c r="K227" s="185"/>
      <c r="L227" s="186"/>
    </row>
    <row r="228" spans="2:12" x14ac:dyDescent="0.4">
      <c r="B228" s="139"/>
      <c r="C228" s="140"/>
      <c r="D228" s="172"/>
      <c r="E228" s="172"/>
      <c r="F228" s="172"/>
      <c r="G228" s="132"/>
      <c r="H228" s="132"/>
      <c r="I228" s="132"/>
      <c r="J228" s="185"/>
      <c r="K228" s="185"/>
      <c r="L228" s="186"/>
    </row>
    <row r="229" spans="2:12" x14ac:dyDescent="0.4">
      <c r="B229" s="139"/>
      <c r="C229" s="140"/>
      <c r="D229" s="172"/>
      <c r="E229" s="172"/>
      <c r="F229" s="172"/>
      <c r="G229" s="132"/>
      <c r="H229" s="132"/>
      <c r="I229" s="132"/>
      <c r="J229" s="185"/>
      <c r="K229" s="185"/>
      <c r="L229" s="186"/>
    </row>
    <row r="230" spans="2:12" x14ac:dyDescent="0.4">
      <c r="B230" s="139"/>
      <c r="C230" s="140"/>
      <c r="D230" s="172"/>
      <c r="E230" s="172"/>
      <c r="F230" s="172"/>
      <c r="G230" s="132"/>
      <c r="H230" s="132"/>
      <c r="I230" s="132"/>
      <c r="J230" s="185"/>
      <c r="K230" s="185"/>
      <c r="L230" s="186"/>
    </row>
    <row r="231" spans="2:12" x14ac:dyDescent="0.4">
      <c r="B231" s="139"/>
      <c r="C231" s="140"/>
      <c r="D231" s="172"/>
      <c r="E231" s="172"/>
      <c r="F231" s="172"/>
      <c r="G231" s="132"/>
      <c r="H231" s="132"/>
      <c r="I231" s="132"/>
      <c r="J231" s="185"/>
      <c r="K231" s="185"/>
      <c r="L231" s="186"/>
    </row>
    <row r="232" spans="2:12" x14ac:dyDescent="0.4">
      <c r="B232" s="139"/>
      <c r="C232" s="140"/>
      <c r="D232" s="172"/>
      <c r="E232" s="172"/>
      <c r="F232" s="172"/>
      <c r="G232" s="132"/>
      <c r="H232" s="132"/>
      <c r="I232" s="132"/>
      <c r="J232" s="185"/>
      <c r="K232" s="185"/>
      <c r="L232" s="186"/>
    </row>
    <row r="233" spans="2:12" x14ac:dyDescent="0.4">
      <c r="B233" s="139"/>
      <c r="C233" s="140"/>
      <c r="D233" s="172"/>
      <c r="E233" s="172"/>
      <c r="F233" s="172"/>
      <c r="G233" s="132"/>
      <c r="H233" s="132"/>
      <c r="I233" s="132"/>
      <c r="J233" s="185"/>
      <c r="K233" s="185"/>
      <c r="L233" s="186"/>
    </row>
    <row r="234" spans="2:12" x14ac:dyDescent="0.4">
      <c r="B234" s="139"/>
      <c r="C234" s="140"/>
      <c r="D234" s="172"/>
      <c r="E234" s="172"/>
      <c r="F234" s="172"/>
      <c r="G234" s="132"/>
      <c r="H234" s="132"/>
      <c r="I234" s="132"/>
      <c r="J234" s="185"/>
      <c r="K234" s="185"/>
      <c r="L234" s="186"/>
    </row>
    <row r="235" spans="2:12" x14ac:dyDescent="0.4">
      <c r="B235" s="139"/>
      <c r="C235" s="140"/>
      <c r="D235" s="172"/>
      <c r="E235" s="172"/>
      <c r="F235" s="172"/>
      <c r="G235" s="132"/>
      <c r="H235" s="132"/>
      <c r="I235" s="132"/>
      <c r="J235" s="185"/>
      <c r="K235" s="185"/>
      <c r="L235" s="186"/>
    </row>
    <row r="236" spans="2:12" x14ac:dyDescent="0.4">
      <c r="B236" s="139"/>
      <c r="C236" s="140"/>
      <c r="D236" s="172"/>
      <c r="E236" s="172"/>
      <c r="F236" s="172"/>
      <c r="G236" s="132"/>
      <c r="H236" s="132"/>
      <c r="I236" s="132"/>
      <c r="J236" s="185"/>
      <c r="K236" s="185"/>
      <c r="L236" s="186"/>
    </row>
    <row r="237" spans="2:12" x14ac:dyDescent="0.4">
      <c r="B237" s="139"/>
      <c r="C237" s="140"/>
      <c r="D237" s="172"/>
      <c r="E237" s="172"/>
      <c r="F237" s="172"/>
      <c r="G237" s="132"/>
      <c r="H237" s="132"/>
      <c r="I237" s="132"/>
      <c r="J237" s="185"/>
      <c r="K237" s="185"/>
      <c r="L237" s="186"/>
    </row>
    <row r="238" spans="2:12" x14ac:dyDescent="0.4">
      <c r="B238" s="139"/>
      <c r="C238" s="140"/>
      <c r="D238" s="172"/>
      <c r="E238" s="172"/>
      <c r="F238" s="172"/>
      <c r="G238" s="132"/>
      <c r="H238" s="132"/>
      <c r="I238" s="132"/>
      <c r="J238" s="185"/>
      <c r="K238" s="185"/>
      <c r="L238" s="186"/>
    </row>
    <row r="239" spans="2:12" x14ac:dyDescent="0.4">
      <c r="B239" s="139"/>
      <c r="C239" s="140"/>
      <c r="D239" s="172"/>
      <c r="E239" s="172"/>
      <c r="F239" s="172"/>
      <c r="G239" s="132"/>
      <c r="H239" s="132"/>
      <c r="I239" s="132"/>
      <c r="J239" s="185"/>
      <c r="K239" s="185"/>
      <c r="L239" s="186"/>
    </row>
    <row r="240" spans="2:12" x14ac:dyDescent="0.4">
      <c r="B240" s="139"/>
      <c r="C240" s="140"/>
      <c r="D240" s="172"/>
      <c r="E240" s="172"/>
      <c r="F240" s="172"/>
      <c r="G240" s="132"/>
      <c r="H240" s="132"/>
      <c r="I240" s="132"/>
      <c r="J240" s="185"/>
      <c r="K240" s="185"/>
      <c r="L240" s="186"/>
    </row>
    <row r="241" spans="2:12" x14ac:dyDescent="0.4">
      <c r="B241" s="139"/>
      <c r="C241" s="140"/>
      <c r="D241" s="172"/>
      <c r="E241" s="172"/>
      <c r="F241" s="172"/>
      <c r="G241" s="132"/>
      <c r="H241" s="132"/>
      <c r="I241" s="132"/>
      <c r="J241" s="185"/>
      <c r="K241" s="185"/>
      <c r="L241" s="186"/>
    </row>
    <row r="242" spans="2:12" x14ac:dyDescent="0.4">
      <c r="B242" s="139"/>
      <c r="C242" s="140"/>
      <c r="D242" s="172"/>
      <c r="E242" s="172"/>
      <c r="F242" s="172"/>
      <c r="G242" s="132"/>
      <c r="H242" s="132"/>
      <c r="I242" s="132"/>
      <c r="J242" s="185"/>
      <c r="K242" s="185"/>
      <c r="L242" s="186"/>
    </row>
    <row r="243" spans="2:12" x14ac:dyDescent="0.4">
      <c r="B243" s="139"/>
      <c r="C243" s="140"/>
      <c r="D243" s="172"/>
      <c r="E243" s="172"/>
      <c r="F243" s="172"/>
      <c r="G243" s="132"/>
      <c r="H243" s="132"/>
      <c r="I243" s="132"/>
      <c r="J243" s="185"/>
      <c r="K243" s="185"/>
      <c r="L243" s="186"/>
    </row>
    <row r="244" spans="2:12" x14ac:dyDescent="0.4">
      <c r="B244" s="139"/>
      <c r="C244" s="140"/>
      <c r="D244" s="172"/>
      <c r="E244" s="172"/>
      <c r="F244" s="172"/>
      <c r="G244" s="132"/>
      <c r="H244" s="132"/>
      <c r="I244" s="132"/>
      <c r="J244" s="185"/>
      <c r="K244" s="185"/>
      <c r="L244" s="186"/>
    </row>
    <row r="245" spans="2:12" x14ac:dyDescent="0.4">
      <c r="B245" s="139"/>
      <c r="C245" s="140"/>
      <c r="D245" s="172"/>
      <c r="E245" s="172"/>
      <c r="F245" s="172"/>
      <c r="G245" s="132"/>
      <c r="H245" s="132"/>
      <c r="I245" s="132"/>
      <c r="J245" s="185"/>
      <c r="K245" s="185"/>
      <c r="L245" s="186"/>
    </row>
    <row r="246" spans="2:12" x14ac:dyDescent="0.4">
      <c r="B246" s="139"/>
      <c r="C246" s="140"/>
      <c r="D246" s="172"/>
      <c r="E246" s="172"/>
      <c r="F246" s="172"/>
      <c r="G246" s="132"/>
      <c r="H246" s="132"/>
      <c r="I246" s="132"/>
      <c r="J246" s="185"/>
      <c r="K246" s="185"/>
      <c r="L246" s="186"/>
    </row>
    <row r="247" spans="2:12" x14ac:dyDescent="0.4">
      <c r="B247" s="139"/>
      <c r="C247" s="140"/>
      <c r="D247" s="172"/>
      <c r="E247" s="172"/>
      <c r="F247" s="172"/>
      <c r="G247" s="132"/>
      <c r="H247" s="132"/>
      <c r="I247" s="132"/>
      <c r="J247" s="185"/>
      <c r="K247" s="185"/>
      <c r="L247" s="186"/>
    </row>
    <row r="248" spans="2:12" x14ac:dyDescent="0.4">
      <c r="B248" s="139"/>
      <c r="C248" s="140"/>
      <c r="D248" s="172"/>
      <c r="E248" s="172"/>
      <c r="F248" s="172"/>
      <c r="G248" s="132"/>
      <c r="H248" s="132"/>
      <c r="I248" s="132"/>
      <c r="J248" s="185"/>
      <c r="K248" s="185"/>
      <c r="L248" s="186"/>
    </row>
    <row r="249" spans="2:12" x14ac:dyDescent="0.4">
      <c r="B249" s="139"/>
      <c r="C249" s="140"/>
      <c r="D249" s="172"/>
      <c r="E249" s="172"/>
      <c r="F249" s="172"/>
      <c r="G249" s="132"/>
      <c r="H249" s="132"/>
      <c r="I249" s="132"/>
      <c r="J249" s="185"/>
      <c r="K249" s="185"/>
      <c r="L249" s="186"/>
    </row>
    <row r="250" spans="2:12" x14ac:dyDescent="0.4">
      <c r="B250" s="139"/>
      <c r="C250" s="140"/>
      <c r="D250" s="172"/>
      <c r="E250" s="172"/>
      <c r="F250" s="172"/>
      <c r="G250" s="132"/>
      <c r="H250" s="132"/>
      <c r="I250" s="132"/>
      <c r="J250" s="185"/>
      <c r="K250" s="185"/>
      <c r="L250" s="186"/>
    </row>
    <row r="251" spans="2:12" x14ac:dyDescent="0.4">
      <c r="B251" s="139"/>
      <c r="C251" s="140"/>
      <c r="D251" s="172"/>
      <c r="E251" s="172"/>
      <c r="F251" s="172"/>
      <c r="G251" s="132"/>
      <c r="H251" s="132"/>
      <c r="I251" s="132"/>
      <c r="J251" s="185"/>
      <c r="K251" s="185"/>
      <c r="L251" s="186"/>
    </row>
    <row r="252" spans="2:12" x14ac:dyDescent="0.4">
      <c r="B252" s="139"/>
      <c r="C252" s="140"/>
      <c r="D252" s="172"/>
      <c r="E252" s="172"/>
      <c r="F252" s="172"/>
      <c r="G252" s="132"/>
      <c r="H252" s="132"/>
      <c r="I252" s="132"/>
      <c r="J252" s="185"/>
      <c r="K252" s="185"/>
      <c r="L252" s="186"/>
    </row>
    <row r="253" spans="2:12" ht="13.5" thickBot="1" x14ac:dyDescent="0.45">
      <c r="B253" s="141"/>
      <c r="C253" s="142"/>
      <c r="D253" s="191"/>
      <c r="E253" s="191"/>
      <c r="F253" s="191"/>
      <c r="G253" s="133"/>
      <c r="H253" s="133"/>
      <c r="I253" s="133"/>
      <c r="J253" s="192"/>
      <c r="K253" s="192"/>
      <c r="L253" s="193"/>
    </row>
  </sheetData>
  <mergeCells count="1007">
    <mergeCell ref="B6:C6"/>
    <mergeCell ref="D6:F6"/>
    <mergeCell ref="G6:I6"/>
    <mergeCell ref="J6:L6"/>
    <mergeCell ref="B7:C7"/>
    <mergeCell ref="D7:F7"/>
    <mergeCell ref="G7:I7"/>
    <mergeCell ref="J7:L7"/>
    <mergeCell ref="B4:C4"/>
    <mergeCell ref="D4:F4"/>
    <mergeCell ref="G4:I4"/>
    <mergeCell ref="J4:L4"/>
    <mergeCell ref="B5:C5"/>
    <mergeCell ref="D5:F5"/>
    <mergeCell ref="G5:I5"/>
    <mergeCell ref="J5:L5"/>
    <mergeCell ref="D2:F2"/>
    <mergeCell ref="G2:I2"/>
    <mergeCell ref="J2:L2"/>
    <mergeCell ref="B3:C3"/>
    <mergeCell ref="D3:F3"/>
    <mergeCell ref="G3:I3"/>
    <mergeCell ref="J3:L3"/>
    <mergeCell ref="B12:C12"/>
    <mergeCell ref="D12:F12"/>
    <mergeCell ref="G12:I12"/>
    <mergeCell ref="J12:L12"/>
    <mergeCell ref="B13:C13"/>
    <mergeCell ref="D13:F13"/>
    <mergeCell ref="G13:I13"/>
    <mergeCell ref="J13:L13"/>
    <mergeCell ref="B10:C10"/>
    <mergeCell ref="D10:F10"/>
    <mergeCell ref="G10:I10"/>
    <mergeCell ref="J10:L10"/>
    <mergeCell ref="B11:C11"/>
    <mergeCell ref="D11:F11"/>
    <mergeCell ref="G11:I11"/>
    <mergeCell ref="J11:L11"/>
    <mergeCell ref="B8:C8"/>
    <mergeCell ref="D8:F8"/>
    <mergeCell ref="G8:I8"/>
    <mergeCell ref="J8:L8"/>
    <mergeCell ref="B9:C9"/>
    <mergeCell ref="D9:F9"/>
    <mergeCell ref="G9:I9"/>
    <mergeCell ref="J9:L9"/>
    <mergeCell ref="B18:C18"/>
    <mergeCell ref="D18:F18"/>
    <mergeCell ref="G18:I18"/>
    <mergeCell ref="J18:L18"/>
    <mergeCell ref="B19:C19"/>
    <mergeCell ref="D19:F19"/>
    <mergeCell ref="G19:I19"/>
    <mergeCell ref="J19:L19"/>
    <mergeCell ref="B16:C16"/>
    <mergeCell ref="D16:F16"/>
    <mergeCell ref="G16:I16"/>
    <mergeCell ref="J16:L16"/>
    <mergeCell ref="B17:C17"/>
    <mergeCell ref="D17:F17"/>
    <mergeCell ref="G17:I17"/>
    <mergeCell ref="J17:L17"/>
    <mergeCell ref="B14:C14"/>
    <mergeCell ref="D14:F14"/>
    <mergeCell ref="G14:I14"/>
    <mergeCell ref="J14:L14"/>
    <mergeCell ref="B15:C15"/>
    <mergeCell ref="D15:F15"/>
    <mergeCell ref="G15:I15"/>
    <mergeCell ref="J15:L15"/>
    <mergeCell ref="B24:C24"/>
    <mergeCell ref="D24:F24"/>
    <mergeCell ref="G24:I24"/>
    <mergeCell ref="J24:L24"/>
    <mergeCell ref="B25:C25"/>
    <mergeCell ref="D25:F25"/>
    <mergeCell ref="G25:I25"/>
    <mergeCell ref="J25:L25"/>
    <mergeCell ref="B22:C22"/>
    <mergeCell ref="D22:F22"/>
    <mergeCell ref="G22:I22"/>
    <mergeCell ref="J22:L22"/>
    <mergeCell ref="B23:C23"/>
    <mergeCell ref="D23:F23"/>
    <mergeCell ref="G23:I23"/>
    <mergeCell ref="J23:L23"/>
    <mergeCell ref="B20:C20"/>
    <mergeCell ref="D20:F20"/>
    <mergeCell ref="G20:I20"/>
    <mergeCell ref="J20:L20"/>
    <mergeCell ref="B21:C21"/>
    <mergeCell ref="D21:F21"/>
    <mergeCell ref="G21:I21"/>
    <mergeCell ref="J21:L21"/>
    <mergeCell ref="B30:C30"/>
    <mergeCell ref="D30:F30"/>
    <mergeCell ref="G30:I30"/>
    <mergeCell ref="J30:L30"/>
    <mergeCell ref="B31:C31"/>
    <mergeCell ref="D31:F31"/>
    <mergeCell ref="G31:I31"/>
    <mergeCell ref="J31:L31"/>
    <mergeCell ref="B28:C28"/>
    <mergeCell ref="D28:F28"/>
    <mergeCell ref="G28:I28"/>
    <mergeCell ref="J28:L28"/>
    <mergeCell ref="B29:C29"/>
    <mergeCell ref="D29:F29"/>
    <mergeCell ref="G29:I29"/>
    <mergeCell ref="J29:L29"/>
    <mergeCell ref="B26:C26"/>
    <mergeCell ref="D26:F26"/>
    <mergeCell ref="G26:I26"/>
    <mergeCell ref="J26:L26"/>
    <mergeCell ref="B27:C27"/>
    <mergeCell ref="D27:F27"/>
    <mergeCell ref="G27:I27"/>
    <mergeCell ref="J27:L27"/>
    <mergeCell ref="B36:C36"/>
    <mergeCell ref="D36:F36"/>
    <mergeCell ref="G36:I36"/>
    <mergeCell ref="J36:L36"/>
    <mergeCell ref="B37:C37"/>
    <mergeCell ref="D37:F37"/>
    <mergeCell ref="G37:I37"/>
    <mergeCell ref="J37:L37"/>
    <mergeCell ref="B34:C34"/>
    <mergeCell ref="D34:F34"/>
    <mergeCell ref="G34:I34"/>
    <mergeCell ref="J34:L34"/>
    <mergeCell ref="B35:C35"/>
    <mergeCell ref="D35:F35"/>
    <mergeCell ref="G35:I35"/>
    <mergeCell ref="J35:L35"/>
    <mergeCell ref="B32:C32"/>
    <mergeCell ref="D32:F32"/>
    <mergeCell ref="G32:I32"/>
    <mergeCell ref="J32:L32"/>
    <mergeCell ref="B33:C33"/>
    <mergeCell ref="D33:F33"/>
    <mergeCell ref="G33:I33"/>
    <mergeCell ref="J33:L33"/>
    <mergeCell ref="B42:C42"/>
    <mergeCell ref="D42:F42"/>
    <mergeCell ref="G42:I42"/>
    <mergeCell ref="J42:L42"/>
    <mergeCell ref="B43:C43"/>
    <mergeCell ref="D43:F43"/>
    <mergeCell ref="G43:I43"/>
    <mergeCell ref="J43:L43"/>
    <mergeCell ref="B40:C40"/>
    <mergeCell ref="D40:F40"/>
    <mergeCell ref="G40:I40"/>
    <mergeCell ref="J40:L40"/>
    <mergeCell ref="B41:C41"/>
    <mergeCell ref="D41:F41"/>
    <mergeCell ref="G41:I41"/>
    <mergeCell ref="J41:L41"/>
    <mergeCell ref="B38:C38"/>
    <mergeCell ref="D38:F38"/>
    <mergeCell ref="G38:I38"/>
    <mergeCell ref="J38:L38"/>
    <mergeCell ref="B39:C39"/>
    <mergeCell ref="D39:F39"/>
    <mergeCell ref="G39:I39"/>
    <mergeCell ref="J39:L39"/>
    <mergeCell ref="B48:C48"/>
    <mergeCell ref="D48:F48"/>
    <mergeCell ref="G48:I48"/>
    <mergeCell ref="J48:L48"/>
    <mergeCell ref="B49:C49"/>
    <mergeCell ref="D49:F49"/>
    <mergeCell ref="G49:I49"/>
    <mergeCell ref="J49:L49"/>
    <mergeCell ref="B46:C46"/>
    <mergeCell ref="D46:F46"/>
    <mergeCell ref="G46:I46"/>
    <mergeCell ref="J46:L46"/>
    <mergeCell ref="B47:C47"/>
    <mergeCell ref="D47:F47"/>
    <mergeCell ref="G47:I47"/>
    <mergeCell ref="J47:L47"/>
    <mergeCell ref="B44:C44"/>
    <mergeCell ref="D44:F44"/>
    <mergeCell ref="G44:I44"/>
    <mergeCell ref="J44:L44"/>
    <mergeCell ref="B45:C45"/>
    <mergeCell ref="D45:F45"/>
    <mergeCell ref="G45:I45"/>
    <mergeCell ref="J45:L45"/>
    <mergeCell ref="B54:C54"/>
    <mergeCell ref="D54:F54"/>
    <mergeCell ref="G54:I54"/>
    <mergeCell ref="J54:L54"/>
    <mergeCell ref="B55:C55"/>
    <mergeCell ref="D55:F55"/>
    <mergeCell ref="G55:I55"/>
    <mergeCell ref="J55:L55"/>
    <mergeCell ref="B52:C52"/>
    <mergeCell ref="D52:F52"/>
    <mergeCell ref="G52:I52"/>
    <mergeCell ref="J52:L52"/>
    <mergeCell ref="B53:C53"/>
    <mergeCell ref="D53:F53"/>
    <mergeCell ref="G53:I53"/>
    <mergeCell ref="J53:L53"/>
    <mergeCell ref="B50:C50"/>
    <mergeCell ref="D50:F50"/>
    <mergeCell ref="G50:I50"/>
    <mergeCell ref="J50:L50"/>
    <mergeCell ref="B51:C51"/>
    <mergeCell ref="D51:F51"/>
    <mergeCell ref="G51:I51"/>
    <mergeCell ref="J51:L51"/>
    <mergeCell ref="B60:C60"/>
    <mergeCell ref="D60:F60"/>
    <mergeCell ref="G60:I60"/>
    <mergeCell ref="J60:L60"/>
    <mergeCell ref="B61:C61"/>
    <mergeCell ref="D61:F61"/>
    <mergeCell ref="G61:I61"/>
    <mergeCell ref="J61:L61"/>
    <mergeCell ref="B58:C58"/>
    <mergeCell ref="D58:F58"/>
    <mergeCell ref="G58:I58"/>
    <mergeCell ref="J58:L58"/>
    <mergeCell ref="B59:C59"/>
    <mergeCell ref="D59:F59"/>
    <mergeCell ref="G59:I59"/>
    <mergeCell ref="J59:L59"/>
    <mergeCell ref="B56:C56"/>
    <mergeCell ref="D56:F56"/>
    <mergeCell ref="G56:I56"/>
    <mergeCell ref="J56:L56"/>
    <mergeCell ref="B57:C57"/>
    <mergeCell ref="D57:F57"/>
    <mergeCell ref="G57:I57"/>
    <mergeCell ref="J57:L57"/>
    <mergeCell ref="B66:C66"/>
    <mergeCell ref="D66:F66"/>
    <mergeCell ref="G66:I66"/>
    <mergeCell ref="J66:L66"/>
    <mergeCell ref="B67:C67"/>
    <mergeCell ref="D67:F67"/>
    <mergeCell ref="G67:I67"/>
    <mergeCell ref="J67:L67"/>
    <mergeCell ref="B64:C64"/>
    <mergeCell ref="D64:F64"/>
    <mergeCell ref="G64:I64"/>
    <mergeCell ref="J64:L64"/>
    <mergeCell ref="B65:C65"/>
    <mergeCell ref="D65:F65"/>
    <mergeCell ref="G65:I65"/>
    <mergeCell ref="J65:L65"/>
    <mergeCell ref="B62:C62"/>
    <mergeCell ref="D62:F62"/>
    <mergeCell ref="G62:I62"/>
    <mergeCell ref="J62:L62"/>
    <mergeCell ref="B63:C63"/>
    <mergeCell ref="D63:F63"/>
    <mergeCell ref="G63:I63"/>
    <mergeCell ref="J63:L63"/>
    <mergeCell ref="B72:C72"/>
    <mergeCell ref="D72:F72"/>
    <mergeCell ref="G72:I72"/>
    <mergeCell ref="J72:L72"/>
    <mergeCell ref="B73:C73"/>
    <mergeCell ref="D73:F73"/>
    <mergeCell ref="G73:I73"/>
    <mergeCell ref="J73:L73"/>
    <mergeCell ref="B70:C70"/>
    <mergeCell ref="D70:F70"/>
    <mergeCell ref="G70:I70"/>
    <mergeCell ref="J70:L70"/>
    <mergeCell ref="B71:C71"/>
    <mergeCell ref="D71:F71"/>
    <mergeCell ref="G71:I71"/>
    <mergeCell ref="J71:L71"/>
    <mergeCell ref="B68:C68"/>
    <mergeCell ref="D68:F68"/>
    <mergeCell ref="G68:I68"/>
    <mergeCell ref="J68:L68"/>
    <mergeCell ref="B69:C69"/>
    <mergeCell ref="D69:F69"/>
    <mergeCell ref="G69:I69"/>
    <mergeCell ref="J69:L69"/>
    <mergeCell ref="B78:C78"/>
    <mergeCell ref="D78:F78"/>
    <mergeCell ref="G78:I78"/>
    <mergeCell ref="J78:L78"/>
    <mergeCell ref="B79:C79"/>
    <mergeCell ref="D79:F79"/>
    <mergeCell ref="G79:I79"/>
    <mergeCell ref="J79:L79"/>
    <mergeCell ref="B76:C76"/>
    <mergeCell ref="D76:F76"/>
    <mergeCell ref="G76:I76"/>
    <mergeCell ref="J76:L76"/>
    <mergeCell ref="B77:C77"/>
    <mergeCell ref="D77:F77"/>
    <mergeCell ref="G77:I77"/>
    <mergeCell ref="J77:L77"/>
    <mergeCell ref="B74:C74"/>
    <mergeCell ref="D74:F74"/>
    <mergeCell ref="G74:I74"/>
    <mergeCell ref="J74:L74"/>
    <mergeCell ref="B75:C75"/>
    <mergeCell ref="D75:F75"/>
    <mergeCell ref="G75:I75"/>
    <mergeCell ref="J75:L75"/>
    <mergeCell ref="B84:C84"/>
    <mergeCell ref="D84:F84"/>
    <mergeCell ref="G84:I84"/>
    <mergeCell ref="J84:L84"/>
    <mergeCell ref="B85:C85"/>
    <mergeCell ref="D85:F85"/>
    <mergeCell ref="G85:I85"/>
    <mergeCell ref="J85:L85"/>
    <mergeCell ref="B82:C82"/>
    <mergeCell ref="D82:F82"/>
    <mergeCell ref="G82:I82"/>
    <mergeCell ref="J82:L82"/>
    <mergeCell ref="B83:C83"/>
    <mergeCell ref="D83:F83"/>
    <mergeCell ref="G83:I83"/>
    <mergeCell ref="J83:L83"/>
    <mergeCell ref="B80:C80"/>
    <mergeCell ref="D80:F80"/>
    <mergeCell ref="G80:I80"/>
    <mergeCell ref="J80:L80"/>
    <mergeCell ref="B81:C81"/>
    <mergeCell ref="D81:F81"/>
    <mergeCell ref="G81:I81"/>
    <mergeCell ref="J81:L81"/>
    <mergeCell ref="B90:C90"/>
    <mergeCell ref="D90:F90"/>
    <mergeCell ref="G90:I90"/>
    <mergeCell ref="J90:L90"/>
    <mergeCell ref="B91:C91"/>
    <mergeCell ref="D91:F91"/>
    <mergeCell ref="G91:I91"/>
    <mergeCell ref="J91:L91"/>
    <mergeCell ref="B88:C88"/>
    <mergeCell ref="D88:F88"/>
    <mergeCell ref="G88:I88"/>
    <mergeCell ref="J88:L88"/>
    <mergeCell ref="B89:C89"/>
    <mergeCell ref="D89:F89"/>
    <mergeCell ref="G89:I89"/>
    <mergeCell ref="J89:L89"/>
    <mergeCell ref="B86:C86"/>
    <mergeCell ref="D86:F86"/>
    <mergeCell ref="G86:I86"/>
    <mergeCell ref="J86:L86"/>
    <mergeCell ref="B87:C87"/>
    <mergeCell ref="D87:F87"/>
    <mergeCell ref="G87:I87"/>
    <mergeCell ref="J87:L87"/>
    <mergeCell ref="B96:C96"/>
    <mergeCell ref="D96:F96"/>
    <mergeCell ref="G96:I96"/>
    <mergeCell ref="J96:L96"/>
    <mergeCell ref="B97:C97"/>
    <mergeCell ref="D97:F97"/>
    <mergeCell ref="G97:I97"/>
    <mergeCell ref="J97:L97"/>
    <mergeCell ref="B94:C94"/>
    <mergeCell ref="D94:F94"/>
    <mergeCell ref="G94:I94"/>
    <mergeCell ref="J94:L94"/>
    <mergeCell ref="B95:C95"/>
    <mergeCell ref="D95:F95"/>
    <mergeCell ref="G95:I95"/>
    <mergeCell ref="J95:L95"/>
    <mergeCell ref="B92:C92"/>
    <mergeCell ref="D92:F92"/>
    <mergeCell ref="G92:I92"/>
    <mergeCell ref="J92:L92"/>
    <mergeCell ref="B93:C93"/>
    <mergeCell ref="D93:F93"/>
    <mergeCell ref="G93:I93"/>
    <mergeCell ref="J93:L93"/>
    <mergeCell ref="B102:C102"/>
    <mergeCell ref="D102:F102"/>
    <mergeCell ref="G102:I102"/>
    <mergeCell ref="J102:L102"/>
    <mergeCell ref="B103:C103"/>
    <mergeCell ref="D103:F103"/>
    <mergeCell ref="G103:I103"/>
    <mergeCell ref="J103:L103"/>
    <mergeCell ref="B100:C100"/>
    <mergeCell ref="D100:F100"/>
    <mergeCell ref="G100:I100"/>
    <mergeCell ref="J100:L100"/>
    <mergeCell ref="B101:C101"/>
    <mergeCell ref="D101:F101"/>
    <mergeCell ref="G101:I101"/>
    <mergeCell ref="J101:L101"/>
    <mergeCell ref="B98:C98"/>
    <mergeCell ref="D98:F98"/>
    <mergeCell ref="G98:I98"/>
    <mergeCell ref="J98:L98"/>
    <mergeCell ref="B99:C99"/>
    <mergeCell ref="D99:F99"/>
    <mergeCell ref="G99:I99"/>
    <mergeCell ref="J99:L99"/>
    <mergeCell ref="B108:C108"/>
    <mergeCell ref="D108:F108"/>
    <mergeCell ref="G108:I108"/>
    <mergeCell ref="J108:L108"/>
    <mergeCell ref="B109:C109"/>
    <mergeCell ref="D109:F109"/>
    <mergeCell ref="G109:I109"/>
    <mergeCell ref="J109:L109"/>
    <mergeCell ref="B106:C106"/>
    <mergeCell ref="D106:F106"/>
    <mergeCell ref="G106:I106"/>
    <mergeCell ref="J106:L106"/>
    <mergeCell ref="B107:C107"/>
    <mergeCell ref="D107:F107"/>
    <mergeCell ref="G107:I107"/>
    <mergeCell ref="J107:L107"/>
    <mergeCell ref="B104:C104"/>
    <mergeCell ref="D104:F104"/>
    <mergeCell ref="G104:I104"/>
    <mergeCell ref="J104:L104"/>
    <mergeCell ref="B105:C105"/>
    <mergeCell ref="D105:F105"/>
    <mergeCell ref="G105:I105"/>
    <mergeCell ref="J105:L105"/>
    <mergeCell ref="B114:C114"/>
    <mergeCell ref="D114:F114"/>
    <mergeCell ref="G114:I114"/>
    <mergeCell ref="J114:L114"/>
    <mergeCell ref="B115:C115"/>
    <mergeCell ref="D115:F115"/>
    <mergeCell ref="G115:I115"/>
    <mergeCell ref="J115:L115"/>
    <mergeCell ref="B112:C112"/>
    <mergeCell ref="D112:F112"/>
    <mergeCell ref="G112:I112"/>
    <mergeCell ref="J112:L112"/>
    <mergeCell ref="B113:C113"/>
    <mergeCell ref="D113:F113"/>
    <mergeCell ref="G113:I113"/>
    <mergeCell ref="J113:L113"/>
    <mergeCell ref="B110:C110"/>
    <mergeCell ref="D110:F110"/>
    <mergeCell ref="G110:I110"/>
    <mergeCell ref="J110:L110"/>
    <mergeCell ref="B111:C111"/>
    <mergeCell ref="D111:F111"/>
    <mergeCell ref="G111:I111"/>
    <mergeCell ref="J111:L111"/>
    <mergeCell ref="B120:C120"/>
    <mergeCell ref="D120:F120"/>
    <mergeCell ref="G120:I120"/>
    <mergeCell ref="J120:L120"/>
    <mergeCell ref="B121:C121"/>
    <mergeCell ref="D121:F121"/>
    <mergeCell ref="G121:I121"/>
    <mergeCell ref="J121:L121"/>
    <mergeCell ref="B118:C118"/>
    <mergeCell ref="D118:F118"/>
    <mergeCell ref="G118:I118"/>
    <mergeCell ref="J118:L118"/>
    <mergeCell ref="B119:C119"/>
    <mergeCell ref="D119:F119"/>
    <mergeCell ref="G119:I119"/>
    <mergeCell ref="J119:L119"/>
    <mergeCell ref="B116:C116"/>
    <mergeCell ref="D116:F116"/>
    <mergeCell ref="G116:I116"/>
    <mergeCell ref="J116:L116"/>
    <mergeCell ref="B117:C117"/>
    <mergeCell ref="D117:F117"/>
    <mergeCell ref="G117:I117"/>
    <mergeCell ref="J117:L117"/>
    <mergeCell ref="B126:C126"/>
    <mergeCell ref="D126:F126"/>
    <mergeCell ref="G126:I126"/>
    <mergeCell ref="J126:L126"/>
    <mergeCell ref="B127:C127"/>
    <mergeCell ref="D127:F127"/>
    <mergeCell ref="G127:I127"/>
    <mergeCell ref="J127:L127"/>
    <mergeCell ref="B124:C124"/>
    <mergeCell ref="D124:F124"/>
    <mergeCell ref="G124:I124"/>
    <mergeCell ref="J124:L124"/>
    <mergeCell ref="B125:C125"/>
    <mergeCell ref="D125:F125"/>
    <mergeCell ref="G125:I125"/>
    <mergeCell ref="J125:L125"/>
    <mergeCell ref="B122:C122"/>
    <mergeCell ref="D122:F122"/>
    <mergeCell ref="G122:I122"/>
    <mergeCell ref="J122:L122"/>
    <mergeCell ref="B123:C123"/>
    <mergeCell ref="D123:F123"/>
    <mergeCell ref="G123:I123"/>
    <mergeCell ref="J123:L123"/>
    <mergeCell ref="B132:C132"/>
    <mergeCell ref="D132:F132"/>
    <mergeCell ref="G132:I132"/>
    <mergeCell ref="J132:L132"/>
    <mergeCell ref="B133:C133"/>
    <mergeCell ref="D133:F133"/>
    <mergeCell ref="G133:I133"/>
    <mergeCell ref="J133:L133"/>
    <mergeCell ref="B130:C130"/>
    <mergeCell ref="D130:F130"/>
    <mergeCell ref="G130:I130"/>
    <mergeCell ref="J130:L130"/>
    <mergeCell ref="B131:C131"/>
    <mergeCell ref="D131:F131"/>
    <mergeCell ref="G131:I131"/>
    <mergeCell ref="J131:L131"/>
    <mergeCell ref="B128:C128"/>
    <mergeCell ref="D128:F128"/>
    <mergeCell ref="G128:I128"/>
    <mergeCell ref="J128:L128"/>
    <mergeCell ref="B129:C129"/>
    <mergeCell ref="D129:F129"/>
    <mergeCell ref="G129:I129"/>
    <mergeCell ref="J129:L129"/>
    <mergeCell ref="B138:C138"/>
    <mergeCell ref="D138:F138"/>
    <mergeCell ref="G138:I138"/>
    <mergeCell ref="J138:L138"/>
    <mergeCell ref="B139:C139"/>
    <mergeCell ref="D139:F139"/>
    <mergeCell ref="G139:I139"/>
    <mergeCell ref="J139:L139"/>
    <mergeCell ref="B136:C136"/>
    <mergeCell ref="D136:F136"/>
    <mergeCell ref="G136:I136"/>
    <mergeCell ref="J136:L136"/>
    <mergeCell ref="B137:C137"/>
    <mergeCell ref="D137:F137"/>
    <mergeCell ref="G137:I137"/>
    <mergeCell ref="J137:L137"/>
    <mergeCell ref="B134:C134"/>
    <mergeCell ref="D134:F134"/>
    <mergeCell ref="G134:I134"/>
    <mergeCell ref="J134:L134"/>
    <mergeCell ref="B135:C135"/>
    <mergeCell ref="D135:F135"/>
    <mergeCell ref="G135:I135"/>
    <mergeCell ref="J135:L135"/>
    <mergeCell ref="B144:C144"/>
    <mergeCell ref="D144:F144"/>
    <mergeCell ref="G144:I144"/>
    <mergeCell ref="J144:L144"/>
    <mergeCell ref="B145:C145"/>
    <mergeCell ref="D145:F145"/>
    <mergeCell ref="G145:I145"/>
    <mergeCell ref="J145:L145"/>
    <mergeCell ref="B142:C142"/>
    <mergeCell ref="D142:F142"/>
    <mergeCell ref="G142:I142"/>
    <mergeCell ref="J142:L142"/>
    <mergeCell ref="B143:C143"/>
    <mergeCell ref="D143:F143"/>
    <mergeCell ref="G143:I143"/>
    <mergeCell ref="J143:L143"/>
    <mergeCell ref="B140:C140"/>
    <mergeCell ref="D140:F140"/>
    <mergeCell ref="G140:I140"/>
    <mergeCell ref="J140:L140"/>
    <mergeCell ref="B141:C141"/>
    <mergeCell ref="D141:F141"/>
    <mergeCell ref="G141:I141"/>
    <mergeCell ref="J141:L141"/>
    <mergeCell ref="B150:C150"/>
    <mergeCell ref="D150:F150"/>
    <mergeCell ref="G150:I150"/>
    <mergeCell ref="J150:L150"/>
    <mergeCell ref="B151:C151"/>
    <mergeCell ref="D151:F151"/>
    <mergeCell ref="G151:I151"/>
    <mergeCell ref="J151:L151"/>
    <mergeCell ref="B148:C148"/>
    <mergeCell ref="D148:F148"/>
    <mergeCell ref="G148:I148"/>
    <mergeCell ref="J148:L148"/>
    <mergeCell ref="B149:C149"/>
    <mergeCell ref="D149:F149"/>
    <mergeCell ref="G149:I149"/>
    <mergeCell ref="J149:L149"/>
    <mergeCell ref="B146:C146"/>
    <mergeCell ref="D146:F146"/>
    <mergeCell ref="G146:I146"/>
    <mergeCell ref="J146:L146"/>
    <mergeCell ref="B147:C147"/>
    <mergeCell ref="D147:F147"/>
    <mergeCell ref="G147:I147"/>
    <mergeCell ref="J147:L147"/>
    <mergeCell ref="B156:C156"/>
    <mergeCell ref="D156:F156"/>
    <mergeCell ref="G156:I156"/>
    <mergeCell ref="J156:L156"/>
    <mergeCell ref="B157:C157"/>
    <mergeCell ref="D157:F157"/>
    <mergeCell ref="G157:I157"/>
    <mergeCell ref="J157:L157"/>
    <mergeCell ref="B154:C154"/>
    <mergeCell ref="D154:F154"/>
    <mergeCell ref="G154:I154"/>
    <mergeCell ref="J154:L154"/>
    <mergeCell ref="B155:C155"/>
    <mergeCell ref="D155:F155"/>
    <mergeCell ref="G155:I155"/>
    <mergeCell ref="J155:L155"/>
    <mergeCell ref="B152:C152"/>
    <mergeCell ref="D152:F152"/>
    <mergeCell ref="G152:I152"/>
    <mergeCell ref="J152:L152"/>
    <mergeCell ref="B153:C153"/>
    <mergeCell ref="D153:F153"/>
    <mergeCell ref="G153:I153"/>
    <mergeCell ref="J153:L153"/>
    <mergeCell ref="B162:C162"/>
    <mergeCell ref="D162:F162"/>
    <mergeCell ref="G162:I162"/>
    <mergeCell ref="J162:L162"/>
    <mergeCell ref="B163:C163"/>
    <mergeCell ref="D163:F163"/>
    <mergeCell ref="G163:I163"/>
    <mergeCell ref="J163:L163"/>
    <mergeCell ref="B160:C160"/>
    <mergeCell ref="D160:F160"/>
    <mergeCell ref="G160:I160"/>
    <mergeCell ref="J160:L160"/>
    <mergeCell ref="B161:C161"/>
    <mergeCell ref="D161:F161"/>
    <mergeCell ref="G161:I161"/>
    <mergeCell ref="J161:L161"/>
    <mergeCell ref="B158:C158"/>
    <mergeCell ref="D158:F158"/>
    <mergeCell ref="G158:I158"/>
    <mergeCell ref="J158:L158"/>
    <mergeCell ref="B159:C159"/>
    <mergeCell ref="D159:F159"/>
    <mergeCell ref="G159:I159"/>
    <mergeCell ref="J159:L159"/>
    <mergeCell ref="B168:C168"/>
    <mergeCell ref="D168:F168"/>
    <mergeCell ref="G168:I168"/>
    <mergeCell ref="J168:L168"/>
    <mergeCell ref="B169:C169"/>
    <mergeCell ref="D169:F169"/>
    <mergeCell ref="G169:I169"/>
    <mergeCell ref="J169:L169"/>
    <mergeCell ref="B166:C166"/>
    <mergeCell ref="D166:F166"/>
    <mergeCell ref="G166:I166"/>
    <mergeCell ref="J166:L166"/>
    <mergeCell ref="B167:C167"/>
    <mergeCell ref="D167:F167"/>
    <mergeCell ref="G167:I167"/>
    <mergeCell ref="J167:L167"/>
    <mergeCell ref="B164:C164"/>
    <mergeCell ref="D164:F164"/>
    <mergeCell ref="G164:I164"/>
    <mergeCell ref="J164:L164"/>
    <mergeCell ref="B165:C165"/>
    <mergeCell ref="D165:F165"/>
    <mergeCell ref="G165:I165"/>
    <mergeCell ref="J165:L165"/>
    <mergeCell ref="B174:C174"/>
    <mergeCell ref="D174:F174"/>
    <mergeCell ref="G174:I174"/>
    <mergeCell ref="J174:L174"/>
    <mergeCell ref="B175:C175"/>
    <mergeCell ref="D175:F175"/>
    <mergeCell ref="G175:I175"/>
    <mergeCell ref="J175:L175"/>
    <mergeCell ref="B172:C172"/>
    <mergeCell ref="D172:F172"/>
    <mergeCell ref="G172:I172"/>
    <mergeCell ref="J172:L172"/>
    <mergeCell ref="B173:C173"/>
    <mergeCell ref="D173:F173"/>
    <mergeCell ref="G173:I173"/>
    <mergeCell ref="J173:L173"/>
    <mergeCell ref="B170:C170"/>
    <mergeCell ref="D170:F170"/>
    <mergeCell ref="G170:I170"/>
    <mergeCell ref="J170:L170"/>
    <mergeCell ref="B171:C171"/>
    <mergeCell ref="D171:F171"/>
    <mergeCell ref="G171:I171"/>
    <mergeCell ref="J171:L171"/>
    <mergeCell ref="B180:C180"/>
    <mergeCell ref="D180:F180"/>
    <mergeCell ref="G180:I180"/>
    <mergeCell ref="J180:L180"/>
    <mergeCell ref="B181:C181"/>
    <mergeCell ref="D181:F181"/>
    <mergeCell ref="G181:I181"/>
    <mergeCell ref="J181:L181"/>
    <mergeCell ref="B178:C178"/>
    <mergeCell ref="D178:F178"/>
    <mergeCell ref="G178:I178"/>
    <mergeCell ref="J178:L178"/>
    <mergeCell ref="B179:C179"/>
    <mergeCell ref="D179:F179"/>
    <mergeCell ref="G179:I179"/>
    <mergeCell ref="J179:L179"/>
    <mergeCell ref="B176:C176"/>
    <mergeCell ref="D176:F176"/>
    <mergeCell ref="G176:I176"/>
    <mergeCell ref="J176:L176"/>
    <mergeCell ref="B177:C177"/>
    <mergeCell ref="D177:F177"/>
    <mergeCell ref="G177:I177"/>
    <mergeCell ref="J177:L177"/>
    <mergeCell ref="B186:C186"/>
    <mergeCell ref="D186:F186"/>
    <mergeCell ref="G186:I186"/>
    <mergeCell ref="J186:L186"/>
    <mergeCell ref="B187:C187"/>
    <mergeCell ref="D187:F187"/>
    <mergeCell ref="G187:I187"/>
    <mergeCell ref="J187:L187"/>
    <mergeCell ref="B184:C184"/>
    <mergeCell ref="D184:F184"/>
    <mergeCell ref="G184:I184"/>
    <mergeCell ref="J184:L184"/>
    <mergeCell ref="B185:C185"/>
    <mergeCell ref="D185:F185"/>
    <mergeCell ref="G185:I185"/>
    <mergeCell ref="J185:L185"/>
    <mergeCell ref="B182:C182"/>
    <mergeCell ref="D182:F182"/>
    <mergeCell ref="G182:I182"/>
    <mergeCell ref="J182:L182"/>
    <mergeCell ref="B183:C183"/>
    <mergeCell ref="D183:F183"/>
    <mergeCell ref="G183:I183"/>
    <mergeCell ref="J183:L183"/>
    <mergeCell ref="B192:C192"/>
    <mergeCell ref="D192:F192"/>
    <mergeCell ref="G192:I192"/>
    <mergeCell ref="J192:L192"/>
    <mergeCell ref="B193:C193"/>
    <mergeCell ref="D193:F193"/>
    <mergeCell ref="G193:I193"/>
    <mergeCell ref="J193:L193"/>
    <mergeCell ref="B190:C190"/>
    <mergeCell ref="D190:F190"/>
    <mergeCell ref="G190:I190"/>
    <mergeCell ref="J190:L190"/>
    <mergeCell ref="B191:C191"/>
    <mergeCell ref="D191:F191"/>
    <mergeCell ref="G191:I191"/>
    <mergeCell ref="J191:L191"/>
    <mergeCell ref="B188:C188"/>
    <mergeCell ref="D188:F188"/>
    <mergeCell ref="G188:I188"/>
    <mergeCell ref="J188:L188"/>
    <mergeCell ref="B189:C189"/>
    <mergeCell ref="D189:F189"/>
    <mergeCell ref="G189:I189"/>
    <mergeCell ref="J189:L189"/>
    <mergeCell ref="B198:C198"/>
    <mergeCell ref="D198:F198"/>
    <mergeCell ref="G198:I198"/>
    <mergeCell ref="J198:L198"/>
    <mergeCell ref="B199:C199"/>
    <mergeCell ref="D199:F199"/>
    <mergeCell ref="G199:I199"/>
    <mergeCell ref="J199:L199"/>
    <mergeCell ref="B196:C196"/>
    <mergeCell ref="D196:F196"/>
    <mergeCell ref="G196:I196"/>
    <mergeCell ref="J196:L196"/>
    <mergeCell ref="B197:C197"/>
    <mergeCell ref="D197:F197"/>
    <mergeCell ref="G197:I197"/>
    <mergeCell ref="J197:L197"/>
    <mergeCell ref="B194:C194"/>
    <mergeCell ref="D194:F194"/>
    <mergeCell ref="G194:I194"/>
    <mergeCell ref="J194:L194"/>
    <mergeCell ref="B195:C195"/>
    <mergeCell ref="D195:F195"/>
    <mergeCell ref="G195:I195"/>
    <mergeCell ref="J195:L195"/>
    <mergeCell ref="B204:C204"/>
    <mergeCell ref="D204:F204"/>
    <mergeCell ref="G204:I204"/>
    <mergeCell ref="J204:L204"/>
    <mergeCell ref="B205:C205"/>
    <mergeCell ref="D205:F205"/>
    <mergeCell ref="G205:I205"/>
    <mergeCell ref="J205:L205"/>
    <mergeCell ref="B202:C202"/>
    <mergeCell ref="D202:F202"/>
    <mergeCell ref="G202:I202"/>
    <mergeCell ref="J202:L202"/>
    <mergeCell ref="B203:C203"/>
    <mergeCell ref="D203:F203"/>
    <mergeCell ref="G203:I203"/>
    <mergeCell ref="J203:L203"/>
    <mergeCell ref="B200:C200"/>
    <mergeCell ref="D200:F200"/>
    <mergeCell ref="G200:I200"/>
    <mergeCell ref="J200:L200"/>
    <mergeCell ref="B201:C201"/>
    <mergeCell ref="D201:F201"/>
    <mergeCell ref="G201:I201"/>
    <mergeCell ref="J201:L201"/>
    <mergeCell ref="B210:C210"/>
    <mergeCell ref="D210:F210"/>
    <mergeCell ref="G210:I210"/>
    <mergeCell ref="J210:L210"/>
    <mergeCell ref="B211:C211"/>
    <mergeCell ref="D211:F211"/>
    <mergeCell ref="G211:I211"/>
    <mergeCell ref="J211:L211"/>
    <mergeCell ref="B208:C208"/>
    <mergeCell ref="D208:F208"/>
    <mergeCell ref="G208:I208"/>
    <mergeCell ref="J208:L208"/>
    <mergeCell ref="B209:C209"/>
    <mergeCell ref="D209:F209"/>
    <mergeCell ref="G209:I209"/>
    <mergeCell ref="J209:L209"/>
    <mergeCell ref="B206:C206"/>
    <mergeCell ref="D206:F206"/>
    <mergeCell ref="G206:I206"/>
    <mergeCell ref="J206:L206"/>
    <mergeCell ref="B207:C207"/>
    <mergeCell ref="D207:F207"/>
    <mergeCell ref="G207:I207"/>
    <mergeCell ref="J207:L207"/>
    <mergeCell ref="B216:C216"/>
    <mergeCell ref="D216:F216"/>
    <mergeCell ref="G216:I216"/>
    <mergeCell ref="J216:L216"/>
    <mergeCell ref="B217:C217"/>
    <mergeCell ref="D217:F217"/>
    <mergeCell ref="G217:I217"/>
    <mergeCell ref="J217:L217"/>
    <mergeCell ref="B214:C214"/>
    <mergeCell ref="D214:F214"/>
    <mergeCell ref="G214:I214"/>
    <mergeCell ref="J214:L214"/>
    <mergeCell ref="B215:C215"/>
    <mergeCell ref="D215:F215"/>
    <mergeCell ref="G215:I215"/>
    <mergeCell ref="J215:L215"/>
    <mergeCell ref="B212:C212"/>
    <mergeCell ref="D212:F212"/>
    <mergeCell ref="G212:I212"/>
    <mergeCell ref="J212:L212"/>
    <mergeCell ref="B213:C213"/>
    <mergeCell ref="D213:F213"/>
    <mergeCell ref="G213:I213"/>
    <mergeCell ref="J213:L213"/>
    <mergeCell ref="B222:C222"/>
    <mergeCell ref="D222:F222"/>
    <mergeCell ref="G222:I222"/>
    <mergeCell ref="J222:L222"/>
    <mergeCell ref="B223:C223"/>
    <mergeCell ref="D223:F223"/>
    <mergeCell ref="G223:I223"/>
    <mergeCell ref="J223:L223"/>
    <mergeCell ref="B220:C220"/>
    <mergeCell ref="D220:F220"/>
    <mergeCell ref="G220:I220"/>
    <mergeCell ref="J220:L220"/>
    <mergeCell ref="B221:C221"/>
    <mergeCell ref="D221:F221"/>
    <mergeCell ref="G221:I221"/>
    <mergeCell ref="J221:L221"/>
    <mergeCell ref="B218:C218"/>
    <mergeCell ref="D218:F218"/>
    <mergeCell ref="G218:I218"/>
    <mergeCell ref="J218:L218"/>
    <mergeCell ref="B219:C219"/>
    <mergeCell ref="D219:F219"/>
    <mergeCell ref="G219:I219"/>
    <mergeCell ref="J219:L219"/>
    <mergeCell ref="B228:C228"/>
    <mergeCell ref="D228:F228"/>
    <mergeCell ref="G228:I228"/>
    <mergeCell ref="J228:L228"/>
    <mergeCell ref="B229:C229"/>
    <mergeCell ref="D229:F229"/>
    <mergeCell ref="G229:I229"/>
    <mergeCell ref="J229:L229"/>
    <mergeCell ref="B226:C226"/>
    <mergeCell ref="D226:F226"/>
    <mergeCell ref="G226:I226"/>
    <mergeCell ref="J226:L226"/>
    <mergeCell ref="B227:C227"/>
    <mergeCell ref="D227:F227"/>
    <mergeCell ref="G227:I227"/>
    <mergeCell ref="J227:L227"/>
    <mergeCell ref="B224:C224"/>
    <mergeCell ref="D224:F224"/>
    <mergeCell ref="G224:I224"/>
    <mergeCell ref="J224:L224"/>
    <mergeCell ref="B225:C225"/>
    <mergeCell ref="D225:F225"/>
    <mergeCell ref="G225:I225"/>
    <mergeCell ref="J225:L225"/>
    <mergeCell ref="B234:C234"/>
    <mergeCell ref="D234:F234"/>
    <mergeCell ref="G234:I234"/>
    <mergeCell ref="J234:L234"/>
    <mergeCell ref="B235:C235"/>
    <mergeCell ref="D235:F235"/>
    <mergeCell ref="G235:I235"/>
    <mergeCell ref="J235:L235"/>
    <mergeCell ref="B232:C232"/>
    <mergeCell ref="D232:F232"/>
    <mergeCell ref="G232:I232"/>
    <mergeCell ref="J232:L232"/>
    <mergeCell ref="B233:C233"/>
    <mergeCell ref="D233:F233"/>
    <mergeCell ref="G233:I233"/>
    <mergeCell ref="J233:L233"/>
    <mergeCell ref="B230:C230"/>
    <mergeCell ref="D230:F230"/>
    <mergeCell ref="G230:I230"/>
    <mergeCell ref="J230:L230"/>
    <mergeCell ref="B231:C231"/>
    <mergeCell ref="D231:F231"/>
    <mergeCell ref="G231:I231"/>
    <mergeCell ref="J231:L231"/>
    <mergeCell ref="B240:C240"/>
    <mergeCell ref="D240:F240"/>
    <mergeCell ref="G240:I240"/>
    <mergeCell ref="J240:L240"/>
    <mergeCell ref="B241:C241"/>
    <mergeCell ref="D241:F241"/>
    <mergeCell ref="G241:I241"/>
    <mergeCell ref="J241:L241"/>
    <mergeCell ref="B238:C238"/>
    <mergeCell ref="D238:F238"/>
    <mergeCell ref="G238:I238"/>
    <mergeCell ref="J238:L238"/>
    <mergeCell ref="B239:C239"/>
    <mergeCell ref="D239:F239"/>
    <mergeCell ref="G239:I239"/>
    <mergeCell ref="J239:L239"/>
    <mergeCell ref="B236:C236"/>
    <mergeCell ref="D236:F236"/>
    <mergeCell ref="G236:I236"/>
    <mergeCell ref="J236:L236"/>
    <mergeCell ref="B237:C237"/>
    <mergeCell ref="D237:F237"/>
    <mergeCell ref="G237:I237"/>
    <mergeCell ref="J237:L237"/>
    <mergeCell ref="B246:C246"/>
    <mergeCell ref="D246:F246"/>
    <mergeCell ref="G246:I246"/>
    <mergeCell ref="J246:L246"/>
    <mergeCell ref="B247:C247"/>
    <mergeCell ref="D247:F247"/>
    <mergeCell ref="G247:I247"/>
    <mergeCell ref="J247:L247"/>
    <mergeCell ref="B244:C244"/>
    <mergeCell ref="D244:F244"/>
    <mergeCell ref="G244:I244"/>
    <mergeCell ref="J244:L244"/>
    <mergeCell ref="B245:C245"/>
    <mergeCell ref="D245:F245"/>
    <mergeCell ref="G245:I245"/>
    <mergeCell ref="J245:L245"/>
    <mergeCell ref="B242:C242"/>
    <mergeCell ref="D242:F242"/>
    <mergeCell ref="G242:I242"/>
    <mergeCell ref="J242:L242"/>
    <mergeCell ref="B243:C243"/>
    <mergeCell ref="D243:F243"/>
    <mergeCell ref="G243:I243"/>
    <mergeCell ref="J243:L243"/>
    <mergeCell ref="B252:C252"/>
    <mergeCell ref="D252:F252"/>
    <mergeCell ref="G252:I252"/>
    <mergeCell ref="J252:L252"/>
    <mergeCell ref="B253:C253"/>
    <mergeCell ref="D253:F253"/>
    <mergeCell ref="G253:I253"/>
    <mergeCell ref="J253:L253"/>
    <mergeCell ref="B250:C250"/>
    <mergeCell ref="D250:F250"/>
    <mergeCell ref="G250:I250"/>
    <mergeCell ref="J250:L250"/>
    <mergeCell ref="B251:C251"/>
    <mergeCell ref="D251:F251"/>
    <mergeCell ref="G251:I251"/>
    <mergeCell ref="J251:L251"/>
    <mergeCell ref="B248:C248"/>
    <mergeCell ref="D248:F248"/>
    <mergeCell ref="G248:I248"/>
    <mergeCell ref="J248:L248"/>
    <mergeCell ref="B249:C249"/>
    <mergeCell ref="D249:F249"/>
    <mergeCell ref="G249:I249"/>
    <mergeCell ref="J249:L249"/>
  </mergeCells>
  <conditionalFormatting sqref="B4:L253">
    <cfRule type="expression" dxfId="12" priority="1">
      <formula>$J4:$L253="Return"</formula>
    </cfRule>
    <cfRule type="expression" dxfId="11" priority="2">
      <formula>$G4:$I253="Hold"</formula>
    </cfRule>
    <cfRule type="expression" dxfId="10" priority="3">
      <formula>$G4:$I1048331="Load"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DDFA-6867-4A6B-9A85-93C8072F51B3}">
  <dimension ref="A1:M254"/>
  <sheetViews>
    <sheetView zoomScale="175" zoomScaleNormal="175" workbookViewId="0">
      <pane xSplit="11" ySplit="4" topLeftCell="L5" activePane="bottomRight" state="frozen"/>
      <selection pane="topRight" activeCell="M1" sqref="M1"/>
      <selection pane="bottomLeft" activeCell="A11" sqref="A11"/>
      <selection pane="bottomRight" activeCell="B2" sqref="B2:C3"/>
    </sheetView>
  </sheetViews>
  <sheetFormatPr defaultRowHeight="13" x14ac:dyDescent="0.4"/>
  <cols>
    <col min="1" max="1" width="8.7265625" style="79"/>
    <col min="2" max="3" width="8.7265625" style="1" customWidth="1"/>
    <col min="4" max="4" width="8.7265625" style="1"/>
    <col min="5" max="5" width="1.81640625" style="1" customWidth="1"/>
    <col min="6" max="6" width="8.7265625" style="1"/>
    <col min="7" max="8" width="9.81640625" style="1" customWidth="1"/>
    <col min="9" max="11" width="8.7265625" style="1"/>
    <col min="12" max="12" width="1.81640625" style="1" customWidth="1"/>
    <col min="13" max="16384" width="8.7265625" style="1"/>
  </cols>
  <sheetData>
    <row r="1" spans="2:13" ht="10" customHeight="1" thickBot="1" x14ac:dyDescent="0.45"/>
    <row r="2" spans="2:13" ht="15.5" customHeight="1" thickBot="1" x14ac:dyDescent="0.45">
      <c r="B2" s="194"/>
      <c r="C2" s="195"/>
      <c r="D2" s="122" cm="1">
        <f t="array" ref="D2">SUMPRODUCT(Maya!$D5:$F254*(((Maya!$G5:$G254="Wallet")*(Maya!$H5:$H254="Load"))+((Maya!$G5:$G254="Savings")*(Maya!$H5:$H254="Transfer"))))</f>
        <v>0</v>
      </c>
      <c r="E2" s="123"/>
      <c r="F2" s="124"/>
      <c r="G2" s="125" cm="1">
        <f t="array" ref="G2">SUMPRODUCT(Maya!$D5:$F254*(Maya!$G5:$G254="Wallet")*(((Maya!$H5:$H254="Hold")*(Maya!$I5:$K254&lt;&gt;"Return"))+(Maya!$H5:$H254="Transfer")+(Maya!$H5:$H254="Out")))</f>
        <v>0</v>
      </c>
      <c r="H2" s="126"/>
      <c r="I2" s="128">
        <f>D2-G2</f>
        <v>0</v>
      </c>
      <c r="J2" s="129"/>
      <c r="K2" s="130"/>
    </row>
    <row r="3" spans="2:13" ht="15.5" customHeight="1" thickBot="1" x14ac:dyDescent="0.45">
      <c r="B3" s="196"/>
      <c r="C3" s="197"/>
      <c r="D3" s="122" cm="1">
        <f t="array" ref="D3">SUMPRODUCT(Maya!$D5:$F254*(((Maya!$G5:$G254="Savings")*((Maya!$H5:$H254="Load")+(Maya!$H5:$H254="Interest")))+((Maya!$G5:$G254="Wallet")*(Maya!$H5:$H254="Transfer"))))</f>
        <v>0</v>
      </c>
      <c r="E3" s="123"/>
      <c r="F3" s="124"/>
      <c r="G3" s="125" cm="1">
        <f t="array" ref="G3">SUMPRODUCT(Maya!$D5:$F254*(Maya!$G5:$G254="Savings")*(((Maya!$H5:$H254="Hold")*(Maya!$I5:$K254&lt;&gt;"Return"))+(Maya!$H5:$H254="Transfer")+(Maya!$H5:$H254="Out")))</f>
        <v>0</v>
      </c>
      <c r="H3" s="126"/>
      <c r="I3" s="128">
        <f>D3-G3</f>
        <v>0</v>
      </c>
      <c r="J3" s="129"/>
      <c r="K3" s="130"/>
    </row>
    <row r="4" spans="2:13" ht="15" customHeight="1" x14ac:dyDescent="0.4">
      <c r="B4" s="116" t="s">
        <v>2</v>
      </c>
      <c r="C4" s="147"/>
      <c r="D4" s="147" t="s">
        <v>3</v>
      </c>
      <c r="E4" s="147"/>
      <c r="F4" s="147"/>
      <c r="G4" s="62" t="s">
        <v>30</v>
      </c>
      <c r="H4" s="65" t="s">
        <v>4</v>
      </c>
      <c r="I4" s="147" t="s">
        <v>5</v>
      </c>
      <c r="J4" s="147"/>
      <c r="K4" s="117"/>
    </row>
    <row r="5" spans="2:13" x14ac:dyDescent="0.4">
      <c r="B5" s="168"/>
      <c r="C5" s="169"/>
      <c r="D5" s="170"/>
      <c r="E5" s="170"/>
      <c r="F5" s="170"/>
      <c r="G5" s="63"/>
      <c r="H5" s="66"/>
      <c r="I5" s="118"/>
      <c r="J5" s="118"/>
      <c r="K5" s="119"/>
    </row>
    <row r="6" spans="2:13" x14ac:dyDescent="0.4">
      <c r="B6" s="168"/>
      <c r="C6" s="169"/>
      <c r="D6" s="170"/>
      <c r="E6" s="170"/>
      <c r="F6" s="170"/>
      <c r="G6" s="63"/>
      <c r="H6" s="66"/>
      <c r="I6" s="118"/>
      <c r="J6" s="118"/>
      <c r="K6" s="119"/>
    </row>
    <row r="7" spans="2:13" x14ac:dyDescent="0.4">
      <c r="B7" s="168"/>
      <c r="C7" s="169"/>
      <c r="D7" s="170"/>
      <c r="E7" s="170"/>
      <c r="F7" s="170"/>
      <c r="G7" s="63"/>
      <c r="H7" s="66"/>
      <c r="I7" s="118"/>
      <c r="J7" s="118"/>
      <c r="K7" s="119"/>
      <c r="M7" s="78"/>
    </row>
    <row r="8" spans="2:13" x14ac:dyDescent="0.4">
      <c r="B8" s="139"/>
      <c r="C8" s="140"/>
      <c r="D8" s="172"/>
      <c r="E8" s="172"/>
      <c r="F8" s="172"/>
      <c r="G8" s="63"/>
      <c r="H8" s="66"/>
      <c r="I8" s="185"/>
      <c r="J8" s="185"/>
      <c r="K8" s="186"/>
    </row>
    <row r="9" spans="2:13" x14ac:dyDescent="0.4">
      <c r="B9" s="139"/>
      <c r="C9" s="140"/>
      <c r="D9" s="172"/>
      <c r="E9" s="172"/>
      <c r="F9" s="172"/>
      <c r="G9" s="63"/>
      <c r="H9" s="66"/>
      <c r="I9" s="185"/>
      <c r="J9" s="185"/>
      <c r="K9" s="186"/>
    </row>
    <row r="10" spans="2:13" x14ac:dyDescent="0.4">
      <c r="B10" s="139"/>
      <c r="C10" s="140"/>
      <c r="D10" s="172"/>
      <c r="E10" s="172"/>
      <c r="F10" s="172"/>
      <c r="G10" s="63"/>
      <c r="H10" s="66"/>
      <c r="I10" s="185"/>
      <c r="J10" s="185"/>
      <c r="K10" s="186"/>
    </row>
    <row r="11" spans="2:13" x14ac:dyDescent="0.4">
      <c r="B11" s="139"/>
      <c r="C11" s="140"/>
      <c r="D11" s="172"/>
      <c r="E11" s="172"/>
      <c r="F11" s="172"/>
      <c r="G11" s="63"/>
      <c r="H11" s="66"/>
      <c r="I11" s="185"/>
      <c r="J11" s="185"/>
      <c r="K11" s="186"/>
    </row>
    <row r="12" spans="2:13" x14ac:dyDescent="0.4">
      <c r="B12" s="139"/>
      <c r="C12" s="140"/>
      <c r="D12" s="172"/>
      <c r="E12" s="172"/>
      <c r="F12" s="172"/>
      <c r="G12" s="63"/>
      <c r="H12" s="66"/>
      <c r="I12" s="185"/>
      <c r="J12" s="185"/>
      <c r="K12" s="186"/>
    </row>
    <row r="13" spans="2:13" x14ac:dyDescent="0.4">
      <c r="B13" s="139"/>
      <c r="C13" s="140"/>
      <c r="D13" s="172"/>
      <c r="E13" s="172"/>
      <c r="F13" s="172"/>
      <c r="G13" s="63"/>
      <c r="H13" s="66"/>
      <c r="I13" s="185"/>
      <c r="J13" s="185"/>
      <c r="K13" s="186"/>
    </row>
    <row r="14" spans="2:13" x14ac:dyDescent="0.4">
      <c r="B14" s="139"/>
      <c r="C14" s="140"/>
      <c r="D14" s="172"/>
      <c r="E14" s="172"/>
      <c r="F14" s="172"/>
      <c r="G14" s="63"/>
      <c r="H14" s="66"/>
      <c r="I14" s="185"/>
      <c r="J14" s="185"/>
      <c r="K14" s="186"/>
    </row>
    <row r="15" spans="2:13" x14ac:dyDescent="0.4">
      <c r="B15" s="139"/>
      <c r="C15" s="140"/>
      <c r="D15" s="172"/>
      <c r="E15" s="172"/>
      <c r="F15" s="172"/>
      <c r="G15" s="63"/>
      <c r="H15" s="66"/>
      <c r="I15" s="185"/>
      <c r="J15" s="185"/>
      <c r="K15" s="186"/>
    </row>
    <row r="16" spans="2:13" x14ac:dyDescent="0.4">
      <c r="B16" s="139"/>
      <c r="C16" s="140"/>
      <c r="D16" s="172"/>
      <c r="E16" s="172"/>
      <c r="F16" s="172"/>
      <c r="G16" s="63"/>
      <c r="H16" s="66"/>
      <c r="I16" s="185"/>
      <c r="J16" s="185"/>
      <c r="K16" s="186"/>
    </row>
    <row r="17" spans="2:11" x14ac:dyDescent="0.4">
      <c r="B17" s="139"/>
      <c r="C17" s="140"/>
      <c r="D17" s="172"/>
      <c r="E17" s="172"/>
      <c r="F17" s="172"/>
      <c r="G17" s="63"/>
      <c r="H17" s="66"/>
      <c r="I17" s="185"/>
      <c r="J17" s="185"/>
      <c r="K17" s="186"/>
    </row>
    <row r="18" spans="2:11" x14ac:dyDescent="0.4">
      <c r="B18" s="139"/>
      <c r="C18" s="140"/>
      <c r="D18" s="172"/>
      <c r="E18" s="172"/>
      <c r="F18" s="172"/>
      <c r="G18" s="63"/>
      <c r="H18" s="66"/>
      <c r="I18" s="185"/>
      <c r="J18" s="185"/>
      <c r="K18" s="186"/>
    </row>
    <row r="19" spans="2:11" x14ac:dyDescent="0.4">
      <c r="B19" s="139"/>
      <c r="C19" s="140"/>
      <c r="D19" s="172"/>
      <c r="E19" s="172"/>
      <c r="F19" s="172"/>
      <c r="G19" s="63"/>
      <c r="H19" s="66"/>
      <c r="I19" s="185"/>
      <c r="J19" s="185"/>
      <c r="K19" s="186"/>
    </row>
    <row r="20" spans="2:11" x14ac:dyDescent="0.4">
      <c r="B20" s="139"/>
      <c r="C20" s="140"/>
      <c r="D20" s="172"/>
      <c r="E20" s="172"/>
      <c r="F20" s="172"/>
      <c r="G20" s="63"/>
      <c r="H20" s="66"/>
      <c r="I20" s="185"/>
      <c r="J20" s="185"/>
      <c r="K20" s="186"/>
    </row>
    <row r="21" spans="2:11" x14ac:dyDescent="0.4">
      <c r="B21" s="139"/>
      <c r="C21" s="140"/>
      <c r="D21" s="172"/>
      <c r="E21" s="172"/>
      <c r="F21" s="172"/>
      <c r="G21" s="63"/>
      <c r="H21" s="66"/>
      <c r="I21" s="185"/>
      <c r="J21" s="185"/>
      <c r="K21" s="186"/>
    </row>
    <row r="22" spans="2:11" x14ac:dyDescent="0.4">
      <c r="B22" s="139"/>
      <c r="C22" s="140"/>
      <c r="D22" s="172"/>
      <c r="E22" s="172"/>
      <c r="F22" s="172"/>
      <c r="G22" s="63"/>
      <c r="H22" s="66"/>
      <c r="I22" s="185"/>
      <c r="J22" s="185"/>
      <c r="K22" s="186"/>
    </row>
    <row r="23" spans="2:11" x14ac:dyDescent="0.4">
      <c r="B23" s="139"/>
      <c r="C23" s="140"/>
      <c r="D23" s="172"/>
      <c r="E23" s="172"/>
      <c r="F23" s="172"/>
      <c r="G23" s="63"/>
      <c r="H23" s="66"/>
      <c r="I23" s="185"/>
      <c r="J23" s="185"/>
      <c r="K23" s="186"/>
    </row>
    <row r="24" spans="2:11" x14ac:dyDescent="0.4">
      <c r="B24" s="139"/>
      <c r="C24" s="140"/>
      <c r="D24" s="172"/>
      <c r="E24" s="172"/>
      <c r="F24" s="172"/>
      <c r="G24" s="63"/>
      <c r="H24" s="66"/>
      <c r="I24" s="185"/>
      <c r="J24" s="185"/>
      <c r="K24" s="186"/>
    </row>
    <row r="25" spans="2:11" x14ac:dyDescent="0.4">
      <c r="B25" s="139"/>
      <c r="C25" s="140"/>
      <c r="D25" s="172"/>
      <c r="E25" s="172"/>
      <c r="F25" s="172"/>
      <c r="G25" s="63"/>
      <c r="H25" s="66"/>
      <c r="I25" s="185"/>
      <c r="J25" s="185"/>
      <c r="K25" s="186"/>
    </row>
    <row r="26" spans="2:11" x14ac:dyDescent="0.4">
      <c r="B26" s="139"/>
      <c r="C26" s="140"/>
      <c r="D26" s="172"/>
      <c r="E26" s="172"/>
      <c r="F26" s="172"/>
      <c r="G26" s="63"/>
      <c r="H26" s="66"/>
      <c r="I26" s="185"/>
      <c r="J26" s="185"/>
      <c r="K26" s="186"/>
    </row>
    <row r="27" spans="2:11" x14ac:dyDescent="0.4">
      <c r="B27" s="139"/>
      <c r="C27" s="140"/>
      <c r="D27" s="172"/>
      <c r="E27" s="172"/>
      <c r="F27" s="172"/>
      <c r="G27" s="63"/>
      <c r="H27" s="66"/>
      <c r="I27" s="185"/>
      <c r="J27" s="185"/>
      <c r="K27" s="186"/>
    </row>
    <row r="28" spans="2:11" x14ac:dyDescent="0.4">
      <c r="B28" s="139"/>
      <c r="C28" s="140"/>
      <c r="D28" s="172"/>
      <c r="E28" s="172"/>
      <c r="F28" s="172"/>
      <c r="G28" s="63"/>
      <c r="H28" s="66"/>
      <c r="I28" s="185"/>
      <c r="J28" s="185"/>
      <c r="K28" s="186"/>
    </row>
    <row r="29" spans="2:11" x14ac:dyDescent="0.4">
      <c r="B29" s="139"/>
      <c r="C29" s="140"/>
      <c r="D29" s="172"/>
      <c r="E29" s="172"/>
      <c r="F29" s="172"/>
      <c r="G29" s="63"/>
      <c r="H29" s="66"/>
      <c r="I29" s="185"/>
      <c r="J29" s="185"/>
      <c r="K29" s="186"/>
    </row>
    <row r="30" spans="2:11" x14ac:dyDescent="0.4">
      <c r="B30" s="139"/>
      <c r="C30" s="140"/>
      <c r="D30" s="172"/>
      <c r="E30" s="172"/>
      <c r="F30" s="172"/>
      <c r="G30" s="63"/>
      <c r="H30" s="66"/>
      <c r="I30" s="185"/>
      <c r="J30" s="185"/>
      <c r="K30" s="186"/>
    </row>
    <row r="31" spans="2:11" x14ac:dyDescent="0.4">
      <c r="B31" s="139"/>
      <c r="C31" s="140"/>
      <c r="D31" s="172"/>
      <c r="E31" s="172"/>
      <c r="F31" s="172"/>
      <c r="G31" s="63"/>
      <c r="H31" s="66"/>
      <c r="I31" s="185"/>
      <c r="J31" s="185"/>
      <c r="K31" s="186"/>
    </row>
    <row r="32" spans="2:11" x14ac:dyDescent="0.4">
      <c r="B32" s="139"/>
      <c r="C32" s="140"/>
      <c r="D32" s="172"/>
      <c r="E32" s="172"/>
      <c r="F32" s="172"/>
      <c r="G32" s="63"/>
      <c r="H32" s="66"/>
      <c r="I32" s="185"/>
      <c r="J32" s="185"/>
      <c r="K32" s="186"/>
    </row>
    <row r="33" spans="2:11" x14ac:dyDescent="0.4">
      <c r="B33" s="139"/>
      <c r="C33" s="140"/>
      <c r="D33" s="172"/>
      <c r="E33" s="172"/>
      <c r="F33" s="172"/>
      <c r="G33" s="63"/>
      <c r="H33" s="66"/>
      <c r="I33" s="185"/>
      <c r="J33" s="185"/>
      <c r="K33" s="186"/>
    </row>
    <row r="34" spans="2:11" x14ac:dyDescent="0.4">
      <c r="B34" s="139"/>
      <c r="C34" s="140"/>
      <c r="D34" s="172"/>
      <c r="E34" s="172"/>
      <c r="F34" s="172"/>
      <c r="G34" s="63"/>
      <c r="H34" s="66"/>
      <c r="I34" s="185"/>
      <c r="J34" s="185"/>
      <c r="K34" s="186"/>
    </row>
    <row r="35" spans="2:11" x14ac:dyDescent="0.4">
      <c r="B35" s="139"/>
      <c r="C35" s="140"/>
      <c r="D35" s="172"/>
      <c r="E35" s="172"/>
      <c r="F35" s="172"/>
      <c r="G35" s="63"/>
      <c r="H35" s="66"/>
      <c r="I35" s="185"/>
      <c r="J35" s="185"/>
      <c r="K35" s="186"/>
    </row>
    <row r="36" spans="2:11" x14ac:dyDescent="0.4">
      <c r="B36" s="139"/>
      <c r="C36" s="140"/>
      <c r="D36" s="172"/>
      <c r="E36" s="172"/>
      <c r="F36" s="172"/>
      <c r="G36" s="63"/>
      <c r="H36" s="66"/>
      <c r="I36" s="185"/>
      <c r="J36" s="185"/>
      <c r="K36" s="186"/>
    </row>
    <row r="37" spans="2:11" x14ac:dyDescent="0.4">
      <c r="B37" s="139"/>
      <c r="C37" s="140"/>
      <c r="D37" s="172"/>
      <c r="E37" s="172"/>
      <c r="F37" s="172"/>
      <c r="G37" s="63"/>
      <c r="H37" s="66"/>
      <c r="I37" s="185"/>
      <c r="J37" s="185"/>
      <c r="K37" s="186"/>
    </row>
    <row r="38" spans="2:11" x14ac:dyDescent="0.4">
      <c r="B38" s="139"/>
      <c r="C38" s="140"/>
      <c r="D38" s="172"/>
      <c r="E38" s="172"/>
      <c r="F38" s="172"/>
      <c r="G38" s="63"/>
      <c r="H38" s="66"/>
      <c r="I38" s="185"/>
      <c r="J38" s="185"/>
      <c r="K38" s="186"/>
    </row>
    <row r="39" spans="2:11" x14ac:dyDescent="0.4">
      <c r="B39" s="139"/>
      <c r="C39" s="140"/>
      <c r="D39" s="172"/>
      <c r="E39" s="172"/>
      <c r="F39" s="172"/>
      <c r="G39" s="63"/>
      <c r="H39" s="66"/>
      <c r="I39" s="185"/>
      <c r="J39" s="185"/>
      <c r="K39" s="186"/>
    </row>
    <row r="40" spans="2:11" x14ac:dyDescent="0.4">
      <c r="B40" s="139"/>
      <c r="C40" s="140"/>
      <c r="D40" s="172"/>
      <c r="E40" s="172"/>
      <c r="F40" s="172"/>
      <c r="G40" s="63"/>
      <c r="H40" s="66"/>
      <c r="I40" s="185"/>
      <c r="J40" s="185"/>
      <c r="K40" s="186"/>
    </row>
    <row r="41" spans="2:11" x14ac:dyDescent="0.4">
      <c r="B41" s="139"/>
      <c r="C41" s="140"/>
      <c r="D41" s="172"/>
      <c r="E41" s="172"/>
      <c r="F41" s="172"/>
      <c r="G41" s="63"/>
      <c r="H41" s="66"/>
      <c r="I41" s="185"/>
      <c r="J41" s="185"/>
      <c r="K41" s="186"/>
    </row>
    <row r="42" spans="2:11" x14ac:dyDescent="0.4">
      <c r="B42" s="139"/>
      <c r="C42" s="140"/>
      <c r="D42" s="172"/>
      <c r="E42" s="172"/>
      <c r="F42" s="172"/>
      <c r="G42" s="63"/>
      <c r="H42" s="66"/>
      <c r="I42" s="185"/>
      <c r="J42" s="185"/>
      <c r="K42" s="186"/>
    </row>
    <row r="43" spans="2:11" x14ac:dyDescent="0.4">
      <c r="B43" s="139"/>
      <c r="C43" s="140"/>
      <c r="D43" s="172"/>
      <c r="E43" s="172"/>
      <c r="F43" s="172"/>
      <c r="G43" s="63"/>
      <c r="H43" s="66"/>
      <c r="I43" s="185"/>
      <c r="J43" s="185"/>
      <c r="K43" s="186"/>
    </row>
    <row r="44" spans="2:11" x14ac:dyDescent="0.4">
      <c r="B44" s="139"/>
      <c r="C44" s="140"/>
      <c r="D44" s="172"/>
      <c r="E44" s="172"/>
      <c r="F44" s="172"/>
      <c r="G44" s="63"/>
      <c r="H44" s="66"/>
      <c r="I44" s="185"/>
      <c r="J44" s="185"/>
      <c r="K44" s="186"/>
    </row>
    <row r="45" spans="2:11" x14ac:dyDescent="0.4">
      <c r="B45" s="139"/>
      <c r="C45" s="140"/>
      <c r="D45" s="172"/>
      <c r="E45" s="172"/>
      <c r="F45" s="172"/>
      <c r="G45" s="63"/>
      <c r="H45" s="66"/>
      <c r="I45" s="185"/>
      <c r="J45" s="185"/>
      <c r="K45" s="186"/>
    </row>
    <row r="46" spans="2:11" x14ac:dyDescent="0.4">
      <c r="B46" s="139"/>
      <c r="C46" s="140"/>
      <c r="D46" s="172"/>
      <c r="E46" s="172"/>
      <c r="F46" s="172"/>
      <c r="G46" s="63"/>
      <c r="H46" s="66"/>
      <c r="I46" s="185"/>
      <c r="J46" s="185"/>
      <c r="K46" s="186"/>
    </row>
    <row r="47" spans="2:11" x14ac:dyDescent="0.4">
      <c r="B47" s="139"/>
      <c r="C47" s="140"/>
      <c r="D47" s="172"/>
      <c r="E47" s="172"/>
      <c r="F47" s="172"/>
      <c r="G47" s="63"/>
      <c r="H47" s="66"/>
      <c r="I47" s="185"/>
      <c r="J47" s="185"/>
      <c r="K47" s="186"/>
    </row>
    <row r="48" spans="2:11" x14ac:dyDescent="0.4">
      <c r="B48" s="139"/>
      <c r="C48" s="140"/>
      <c r="D48" s="172"/>
      <c r="E48" s="172"/>
      <c r="F48" s="172"/>
      <c r="G48" s="63"/>
      <c r="H48" s="66"/>
      <c r="I48" s="185"/>
      <c r="J48" s="185"/>
      <c r="K48" s="186"/>
    </row>
    <row r="49" spans="2:11" x14ac:dyDescent="0.4">
      <c r="B49" s="139"/>
      <c r="C49" s="140"/>
      <c r="D49" s="172"/>
      <c r="E49" s="172"/>
      <c r="F49" s="172"/>
      <c r="G49" s="63"/>
      <c r="H49" s="66"/>
      <c r="I49" s="185"/>
      <c r="J49" s="185"/>
      <c r="K49" s="186"/>
    </row>
    <row r="50" spans="2:11" x14ac:dyDescent="0.4">
      <c r="B50" s="139"/>
      <c r="C50" s="140"/>
      <c r="D50" s="172"/>
      <c r="E50" s="172"/>
      <c r="F50" s="172"/>
      <c r="G50" s="63"/>
      <c r="H50" s="66"/>
      <c r="I50" s="185"/>
      <c r="J50" s="185"/>
      <c r="K50" s="186"/>
    </row>
    <row r="51" spans="2:11" x14ac:dyDescent="0.4">
      <c r="B51" s="139"/>
      <c r="C51" s="140"/>
      <c r="D51" s="172"/>
      <c r="E51" s="172"/>
      <c r="F51" s="172"/>
      <c r="G51" s="63"/>
      <c r="H51" s="66"/>
      <c r="I51" s="185"/>
      <c r="J51" s="185"/>
      <c r="K51" s="186"/>
    </row>
    <row r="52" spans="2:11" x14ac:dyDescent="0.4">
      <c r="B52" s="139"/>
      <c r="C52" s="140"/>
      <c r="D52" s="172"/>
      <c r="E52" s="172"/>
      <c r="F52" s="172"/>
      <c r="G52" s="63"/>
      <c r="H52" s="66"/>
      <c r="I52" s="185"/>
      <c r="J52" s="185"/>
      <c r="K52" s="186"/>
    </row>
    <row r="53" spans="2:11" x14ac:dyDescent="0.4">
      <c r="B53" s="139"/>
      <c r="C53" s="140"/>
      <c r="D53" s="172"/>
      <c r="E53" s="172"/>
      <c r="F53" s="172"/>
      <c r="G53" s="63"/>
      <c r="H53" s="66"/>
      <c r="I53" s="185"/>
      <c r="J53" s="185"/>
      <c r="K53" s="186"/>
    </row>
    <row r="54" spans="2:11" x14ac:dyDescent="0.4">
      <c r="B54" s="139"/>
      <c r="C54" s="140"/>
      <c r="D54" s="172"/>
      <c r="E54" s="172"/>
      <c r="F54" s="172"/>
      <c r="G54" s="63"/>
      <c r="H54" s="66"/>
      <c r="I54" s="185"/>
      <c r="J54" s="185"/>
      <c r="K54" s="186"/>
    </row>
    <row r="55" spans="2:11" x14ac:dyDescent="0.4">
      <c r="B55" s="139"/>
      <c r="C55" s="140"/>
      <c r="D55" s="172"/>
      <c r="E55" s="172"/>
      <c r="F55" s="172"/>
      <c r="G55" s="63"/>
      <c r="H55" s="66"/>
      <c r="I55" s="185"/>
      <c r="J55" s="185"/>
      <c r="K55" s="186"/>
    </row>
    <row r="56" spans="2:11" x14ac:dyDescent="0.4">
      <c r="B56" s="139"/>
      <c r="C56" s="140"/>
      <c r="D56" s="172"/>
      <c r="E56" s="172"/>
      <c r="F56" s="172"/>
      <c r="G56" s="63"/>
      <c r="H56" s="66"/>
      <c r="I56" s="185"/>
      <c r="J56" s="185"/>
      <c r="K56" s="186"/>
    </row>
    <row r="57" spans="2:11" x14ac:dyDescent="0.4">
      <c r="B57" s="139"/>
      <c r="C57" s="140"/>
      <c r="D57" s="172"/>
      <c r="E57" s="172"/>
      <c r="F57" s="172"/>
      <c r="G57" s="63"/>
      <c r="H57" s="66"/>
      <c r="I57" s="185"/>
      <c r="J57" s="185"/>
      <c r="K57" s="186"/>
    </row>
    <row r="58" spans="2:11" x14ac:dyDescent="0.4">
      <c r="B58" s="139"/>
      <c r="C58" s="140"/>
      <c r="D58" s="172"/>
      <c r="E58" s="172"/>
      <c r="F58" s="172"/>
      <c r="G58" s="63"/>
      <c r="H58" s="66"/>
      <c r="I58" s="185"/>
      <c r="J58" s="185"/>
      <c r="K58" s="186"/>
    </row>
    <row r="59" spans="2:11" x14ac:dyDescent="0.4">
      <c r="B59" s="139"/>
      <c r="C59" s="140"/>
      <c r="D59" s="172"/>
      <c r="E59" s="172"/>
      <c r="F59" s="172"/>
      <c r="G59" s="63"/>
      <c r="H59" s="66"/>
      <c r="I59" s="185"/>
      <c r="J59" s="185"/>
      <c r="K59" s="186"/>
    </row>
    <row r="60" spans="2:11" x14ac:dyDescent="0.4">
      <c r="B60" s="139"/>
      <c r="C60" s="140"/>
      <c r="D60" s="172"/>
      <c r="E60" s="172"/>
      <c r="F60" s="172"/>
      <c r="G60" s="63"/>
      <c r="H60" s="66"/>
      <c r="I60" s="185"/>
      <c r="J60" s="185"/>
      <c r="K60" s="186"/>
    </row>
    <row r="61" spans="2:11" x14ac:dyDescent="0.4">
      <c r="B61" s="139"/>
      <c r="C61" s="140"/>
      <c r="D61" s="172"/>
      <c r="E61" s="172"/>
      <c r="F61" s="172"/>
      <c r="G61" s="63"/>
      <c r="H61" s="66"/>
      <c r="I61" s="185"/>
      <c r="J61" s="185"/>
      <c r="K61" s="186"/>
    </row>
    <row r="62" spans="2:11" x14ac:dyDescent="0.4">
      <c r="B62" s="139"/>
      <c r="C62" s="140"/>
      <c r="D62" s="172"/>
      <c r="E62" s="172"/>
      <c r="F62" s="172"/>
      <c r="G62" s="63"/>
      <c r="H62" s="66"/>
      <c r="I62" s="185"/>
      <c r="J62" s="185"/>
      <c r="K62" s="186"/>
    </row>
    <row r="63" spans="2:11" x14ac:dyDescent="0.4">
      <c r="B63" s="139"/>
      <c r="C63" s="140"/>
      <c r="D63" s="172"/>
      <c r="E63" s="172"/>
      <c r="F63" s="172"/>
      <c r="G63" s="63"/>
      <c r="H63" s="66"/>
      <c r="I63" s="185"/>
      <c r="J63" s="185"/>
      <c r="K63" s="186"/>
    </row>
    <row r="64" spans="2:11" x14ac:dyDescent="0.4">
      <c r="B64" s="139"/>
      <c r="C64" s="140"/>
      <c r="D64" s="172"/>
      <c r="E64" s="172"/>
      <c r="F64" s="172"/>
      <c r="G64" s="63"/>
      <c r="H64" s="66"/>
      <c r="I64" s="185"/>
      <c r="J64" s="185"/>
      <c r="K64" s="186"/>
    </row>
    <row r="65" spans="2:11" x14ac:dyDescent="0.4">
      <c r="B65" s="139"/>
      <c r="C65" s="140"/>
      <c r="D65" s="172"/>
      <c r="E65" s="172"/>
      <c r="F65" s="172"/>
      <c r="G65" s="63"/>
      <c r="H65" s="66"/>
      <c r="I65" s="185"/>
      <c r="J65" s="185"/>
      <c r="K65" s="186"/>
    </row>
    <row r="66" spans="2:11" x14ac:dyDescent="0.4">
      <c r="B66" s="139"/>
      <c r="C66" s="140"/>
      <c r="D66" s="172"/>
      <c r="E66" s="172"/>
      <c r="F66" s="172"/>
      <c r="G66" s="63"/>
      <c r="H66" s="66"/>
      <c r="I66" s="185"/>
      <c r="J66" s="185"/>
      <c r="K66" s="186"/>
    </row>
    <row r="67" spans="2:11" x14ac:dyDescent="0.4">
      <c r="B67" s="139"/>
      <c r="C67" s="140"/>
      <c r="D67" s="172"/>
      <c r="E67" s="172"/>
      <c r="F67" s="172"/>
      <c r="G67" s="63"/>
      <c r="H67" s="66"/>
      <c r="I67" s="185"/>
      <c r="J67" s="185"/>
      <c r="K67" s="186"/>
    </row>
    <row r="68" spans="2:11" x14ac:dyDescent="0.4">
      <c r="B68" s="139"/>
      <c r="C68" s="140"/>
      <c r="D68" s="172"/>
      <c r="E68" s="172"/>
      <c r="F68" s="172"/>
      <c r="G68" s="63"/>
      <c r="H68" s="66"/>
      <c r="I68" s="185"/>
      <c r="J68" s="185"/>
      <c r="K68" s="186"/>
    </row>
    <row r="69" spans="2:11" x14ac:dyDescent="0.4">
      <c r="B69" s="139"/>
      <c r="C69" s="140"/>
      <c r="D69" s="172"/>
      <c r="E69" s="172"/>
      <c r="F69" s="172"/>
      <c r="G69" s="63"/>
      <c r="H69" s="66"/>
      <c r="I69" s="185"/>
      <c r="J69" s="185"/>
      <c r="K69" s="186"/>
    </row>
    <row r="70" spans="2:11" x14ac:dyDescent="0.4">
      <c r="B70" s="139"/>
      <c r="C70" s="140"/>
      <c r="D70" s="172"/>
      <c r="E70" s="172"/>
      <c r="F70" s="172"/>
      <c r="G70" s="63"/>
      <c r="H70" s="66"/>
      <c r="I70" s="185"/>
      <c r="J70" s="185"/>
      <c r="K70" s="186"/>
    </row>
    <row r="71" spans="2:11" x14ac:dyDescent="0.4">
      <c r="B71" s="139"/>
      <c r="C71" s="140"/>
      <c r="D71" s="172"/>
      <c r="E71" s="172"/>
      <c r="F71" s="172"/>
      <c r="G71" s="63"/>
      <c r="H71" s="66"/>
      <c r="I71" s="185"/>
      <c r="J71" s="185"/>
      <c r="K71" s="186"/>
    </row>
    <row r="72" spans="2:11" x14ac:dyDescent="0.4">
      <c r="B72" s="139"/>
      <c r="C72" s="140"/>
      <c r="D72" s="172"/>
      <c r="E72" s="172"/>
      <c r="F72" s="172"/>
      <c r="G72" s="63"/>
      <c r="H72" s="66"/>
      <c r="I72" s="185"/>
      <c r="J72" s="185"/>
      <c r="K72" s="186"/>
    </row>
    <row r="73" spans="2:11" x14ac:dyDescent="0.4">
      <c r="B73" s="139"/>
      <c r="C73" s="140"/>
      <c r="D73" s="172"/>
      <c r="E73" s="172"/>
      <c r="F73" s="172"/>
      <c r="G73" s="63"/>
      <c r="H73" s="66"/>
      <c r="I73" s="185"/>
      <c r="J73" s="185"/>
      <c r="K73" s="186"/>
    </row>
    <row r="74" spans="2:11" x14ac:dyDescent="0.4">
      <c r="B74" s="139"/>
      <c r="C74" s="140"/>
      <c r="D74" s="172"/>
      <c r="E74" s="172"/>
      <c r="F74" s="172"/>
      <c r="G74" s="63"/>
      <c r="H74" s="66"/>
      <c r="I74" s="185"/>
      <c r="J74" s="185"/>
      <c r="K74" s="186"/>
    </row>
    <row r="75" spans="2:11" x14ac:dyDescent="0.4">
      <c r="B75" s="139"/>
      <c r="C75" s="140"/>
      <c r="D75" s="172"/>
      <c r="E75" s="172"/>
      <c r="F75" s="172"/>
      <c r="G75" s="63"/>
      <c r="H75" s="66"/>
      <c r="I75" s="185"/>
      <c r="J75" s="185"/>
      <c r="K75" s="186"/>
    </row>
    <row r="76" spans="2:11" x14ac:dyDescent="0.4">
      <c r="B76" s="139"/>
      <c r="C76" s="140"/>
      <c r="D76" s="172"/>
      <c r="E76" s="172"/>
      <c r="F76" s="172"/>
      <c r="G76" s="63"/>
      <c r="H76" s="66"/>
      <c r="I76" s="185"/>
      <c r="J76" s="185"/>
      <c r="K76" s="186"/>
    </row>
    <row r="77" spans="2:11" x14ac:dyDescent="0.4">
      <c r="B77" s="139"/>
      <c r="C77" s="140"/>
      <c r="D77" s="172"/>
      <c r="E77" s="172"/>
      <c r="F77" s="172"/>
      <c r="G77" s="63"/>
      <c r="H77" s="66"/>
      <c r="I77" s="185"/>
      <c r="J77" s="185"/>
      <c r="K77" s="186"/>
    </row>
    <row r="78" spans="2:11" x14ac:dyDescent="0.4">
      <c r="B78" s="139"/>
      <c r="C78" s="140"/>
      <c r="D78" s="172"/>
      <c r="E78" s="172"/>
      <c r="F78" s="172"/>
      <c r="G78" s="63"/>
      <c r="H78" s="66"/>
      <c r="I78" s="185"/>
      <c r="J78" s="185"/>
      <c r="K78" s="186"/>
    </row>
    <row r="79" spans="2:11" x14ac:dyDescent="0.4">
      <c r="B79" s="139"/>
      <c r="C79" s="140"/>
      <c r="D79" s="172"/>
      <c r="E79" s="172"/>
      <c r="F79" s="172"/>
      <c r="G79" s="63"/>
      <c r="H79" s="66"/>
      <c r="I79" s="185"/>
      <c r="J79" s="185"/>
      <c r="K79" s="186"/>
    </row>
    <row r="80" spans="2:11" x14ac:dyDescent="0.4">
      <c r="B80" s="139"/>
      <c r="C80" s="140"/>
      <c r="D80" s="172"/>
      <c r="E80" s="172"/>
      <c r="F80" s="172"/>
      <c r="G80" s="63"/>
      <c r="H80" s="66"/>
      <c r="I80" s="185"/>
      <c r="J80" s="185"/>
      <c r="K80" s="186"/>
    </row>
    <row r="81" spans="2:11" x14ac:dyDescent="0.4">
      <c r="B81" s="139"/>
      <c r="C81" s="140"/>
      <c r="D81" s="172"/>
      <c r="E81" s="172"/>
      <c r="F81" s="172"/>
      <c r="G81" s="63"/>
      <c r="H81" s="66"/>
      <c r="I81" s="185"/>
      <c r="J81" s="185"/>
      <c r="K81" s="186"/>
    </row>
    <row r="82" spans="2:11" x14ac:dyDescent="0.4">
      <c r="B82" s="139"/>
      <c r="C82" s="140"/>
      <c r="D82" s="172"/>
      <c r="E82" s="172"/>
      <c r="F82" s="172"/>
      <c r="G82" s="63"/>
      <c r="H82" s="66"/>
      <c r="I82" s="185"/>
      <c r="J82" s="185"/>
      <c r="K82" s="186"/>
    </row>
    <row r="83" spans="2:11" x14ac:dyDescent="0.4">
      <c r="B83" s="139"/>
      <c r="C83" s="140"/>
      <c r="D83" s="172"/>
      <c r="E83" s="172"/>
      <c r="F83" s="172"/>
      <c r="G83" s="63"/>
      <c r="H83" s="66"/>
      <c r="I83" s="185"/>
      <c r="J83" s="185"/>
      <c r="K83" s="186"/>
    </row>
    <row r="84" spans="2:11" x14ac:dyDescent="0.4">
      <c r="B84" s="139"/>
      <c r="C84" s="140"/>
      <c r="D84" s="172"/>
      <c r="E84" s="172"/>
      <c r="F84" s="172"/>
      <c r="G84" s="63"/>
      <c r="H84" s="66"/>
      <c r="I84" s="185"/>
      <c r="J84" s="185"/>
      <c r="K84" s="186"/>
    </row>
    <row r="85" spans="2:11" x14ac:dyDescent="0.4">
      <c r="B85" s="139"/>
      <c r="C85" s="140"/>
      <c r="D85" s="172"/>
      <c r="E85" s="172"/>
      <c r="F85" s="172"/>
      <c r="G85" s="63"/>
      <c r="H85" s="66"/>
      <c r="I85" s="185"/>
      <c r="J85" s="185"/>
      <c r="K85" s="186"/>
    </row>
    <row r="86" spans="2:11" x14ac:dyDescent="0.4">
      <c r="B86" s="139"/>
      <c r="C86" s="140"/>
      <c r="D86" s="172"/>
      <c r="E86" s="172"/>
      <c r="F86" s="172"/>
      <c r="G86" s="63"/>
      <c r="H86" s="66"/>
      <c r="I86" s="185"/>
      <c r="J86" s="185"/>
      <c r="K86" s="186"/>
    </row>
    <row r="87" spans="2:11" x14ac:dyDescent="0.4">
      <c r="B87" s="139"/>
      <c r="C87" s="140"/>
      <c r="D87" s="172"/>
      <c r="E87" s="172"/>
      <c r="F87" s="172"/>
      <c r="G87" s="63"/>
      <c r="H87" s="66"/>
      <c r="I87" s="185"/>
      <c r="J87" s="185"/>
      <c r="K87" s="186"/>
    </row>
    <row r="88" spans="2:11" x14ac:dyDescent="0.4">
      <c r="B88" s="139"/>
      <c r="C88" s="140"/>
      <c r="D88" s="172"/>
      <c r="E88" s="172"/>
      <c r="F88" s="172"/>
      <c r="G88" s="63"/>
      <c r="H88" s="66"/>
      <c r="I88" s="185"/>
      <c r="J88" s="185"/>
      <c r="K88" s="186"/>
    </row>
    <row r="89" spans="2:11" x14ac:dyDescent="0.4">
      <c r="B89" s="139"/>
      <c r="C89" s="140"/>
      <c r="D89" s="172"/>
      <c r="E89" s="172"/>
      <c r="F89" s="172"/>
      <c r="G89" s="63"/>
      <c r="H89" s="66"/>
      <c r="I89" s="185"/>
      <c r="J89" s="185"/>
      <c r="K89" s="186"/>
    </row>
    <row r="90" spans="2:11" x14ac:dyDescent="0.4">
      <c r="B90" s="139"/>
      <c r="C90" s="140"/>
      <c r="D90" s="172"/>
      <c r="E90" s="172"/>
      <c r="F90" s="172"/>
      <c r="G90" s="63"/>
      <c r="H90" s="66"/>
      <c r="I90" s="185"/>
      <c r="J90" s="185"/>
      <c r="K90" s="186"/>
    </row>
    <row r="91" spans="2:11" x14ac:dyDescent="0.4">
      <c r="B91" s="139"/>
      <c r="C91" s="140"/>
      <c r="D91" s="172"/>
      <c r="E91" s="172"/>
      <c r="F91" s="172"/>
      <c r="G91" s="63"/>
      <c r="H91" s="66"/>
      <c r="I91" s="185"/>
      <c r="J91" s="185"/>
      <c r="K91" s="186"/>
    </row>
    <row r="92" spans="2:11" x14ac:dyDescent="0.4">
      <c r="B92" s="139"/>
      <c r="C92" s="140"/>
      <c r="D92" s="172"/>
      <c r="E92" s="172"/>
      <c r="F92" s="172"/>
      <c r="G92" s="63"/>
      <c r="H92" s="66"/>
      <c r="I92" s="185"/>
      <c r="J92" s="185"/>
      <c r="K92" s="186"/>
    </row>
    <row r="93" spans="2:11" x14ac:dyDescent="0.4">
      <c r="B93" s="139"/>
      <c r="C93" s="140"/>
      <c r="D93" s="172"/>
      <c r="E93" s="172"/>
      <c r="F93" s="172"/>
      <c r="G93" s="63"/>
      <c r="H93" s="66"/>
      <c r="I93" s="185"/>
      <c r="J93" s="185"/>
      <c r="K93" s="186"/>
    </row>
    <row r="94" spans="2:11" x14ac:dyDescent="0.4">
      <c r="B94" s="139"/>
      <c r="C94" s="140"/>
      <c r="D94" s="172"/>
      <c r="E94" s="172"/>
      <c r="F94" s="172"/>
      <c r="G94" s="63"/>
      <c r="H94" s="66"/>
      <c r="I94" s="185"/>
      <c r="J94" s="185"/>
      <c r="K94" s="186"/>
    </row>
    <row r="95" spans="2:11" x14ac:dyDescent="0.4">
      <c r="B95" s="139"/>
      <c r="C95" s="140"/>
      <c r="D95" s="172"/>
      <c r="E95" s="172"/>
      <c r="F95" s="172"/>
      <c r="G95" s="63"/>
      <c r="H95" s="66"/>
      <c r="I95" s="185"/>
      <c r="J95" s="185"/>
      <c r="K95" s="186"/>
    </row>
    <row r="96" spans="2:11" x14ac:dyDescent="0.4">
      <c r="B96" s="139"/>
      <c r="C96" s="140"/>
      <c r="D96" s="172"/>
      <c r="E96" s="172"/>
      <c r="F96" s="172"/>
      <c r="G96" s="63"/>
      <c r="H96" s="66"/>
      <c r="I96" s="185"/>
      <c r="J96" s="185"/>
      <c r="K96" s="186"/>
    </row>
    <row r="97" spans="2:11" x14ac:dyDescent="0.4">
      <c r="B97" s="139"/>
      <c r="C97" s="140"/>
      <c r="D97" s="172"/>
      <c r="E97" s="172"/>
      <c r="F97" s="172"/>
      <c r="G97" s="63"/>
      <c r="H97" s="66"/>
      <c r="I97" s="185"/>
      <c r="J97" s="185"/>
      <c r="K97" s="186"/>
    </row>
    <row r="98" spans="2:11" x14ac:dyDescent="0.4">
      <c r="B98" s="139"/>
      <c r="C98" s="140"/>
      <c r="D98" s="172"/>
      <c r="E98" s="172"/>
      <c r="F98" s="172"/>
      <c r="G98" s="63"/>
      <c r="H98" s="66"/>
      <c r="I98" s="185"/>
      <c r="J98" s="185"/>
      <c r="K98" s="186"/>
    </row>
    <row r="99" spans="2:11" x14ac:dyDescent="0.4">
      <c r="B99" s="139"/>
      <c r="C99" s="140"/>
      <c r="D99" s="172"/>
      <c r="E99" s="172"/>
      <c r="F99" s="172"/>
      <c r="G99" s="63"/>
      <c r="H99" s="66"/>
      <c r="I99" s="185"/>
      <c r="J99" s="185"/>
      <c r="K99" s="186"/>
    </row>
    <row r="100" spans="2:11" x14ac:dyDescent="0.4">
      <c r="B100" s="139"/>
      <c r="C100" s="140"/>
      <c r="D100" s="172"/>
      <c r="E100" s="172"/>
      <c r="F100" s="172"/>
      <c r="G100" s="63"/>
      <c r="H100" s="66"/>
      <c r="I100" s="185"/>
      <c r="J100" s="185"/>
      <c r="K100" s="186"/>
    </row>
    <row r="101" spans="2:11" x14ac:dyDescent="0.4">
      <c r="B101" s="139"/>
      <c r="C101" s="140"/>
      <c r="D101" s="172"/>
      <c r="E101" s="172"/>
      <c r="F101" s="172"/>
      <c r="G101" s="63"/>
      <c r="H101" s="66"/>
      <c r="I101" s="185"/>
      <c r="J101" s="185"/>
      <c r="K101" s="186"/>
    </row>
    <row r="102" spans="2:11" x14ac:dyDescent="0.4">
      <c r="B102" s="139"/>
      <c r="C102" s="140"/>
      <c r="D102" s="172"/>
      <c r="E102" s="172"/>
      <c r="F102" s="172"/>
      <c r="G102" s="63"/>
      <c r="H102" s="66"/>
      <c r="I102" s="185"/>
      <c r="J102" s="185"/>
      <c r="K102" s="186"/>
    </row>
    <row r="103" spans="2:11" x14ac:dyDescent="0.4">
      <c r="B103" s="139"/>
      <c r="C103" s="140"/>
      <c r="D103" s="172"/>
      <c r="E103" s="172"/>
      <c r="F103" s="172"/>
      <c r="G103" s="63"/>
      <c r="H103" s="66"/>
      <c r="I103" s="185"/>
      <c r="J103" s="185"/>
      <c r="K103" s="186"/>
    </row>
    <row r="104" spans="2:11" x14ac:dyDescent="0.4">
      <c r="B104" s="139"/>
      <c r="C104" s="140"/>
      <c r="D104" s="172"/>
      <c r="E104" s="172"/>
      <c r="F104" s="172"/>
      <c r="G104" s="63"/>
      <c r="H104" s="66"/>
      <c r="I104" s="185"/>
      <c r="J104" s="185"/>
      <c r="K104" s="186"/>
    </row>
    <row r="105" spans="2:11" x14ac:dyDescent="0.4">
      <c r="B105" s="139"/>
      <c r="C105" s="140"/>
      <c r="D105" s="172"/>
      <c r="E105" s="172"/>
      <c r="F105" s="172"/>
      <c r="G105" s="63"/>
      <c r="H105" s="66"/>
      <c r="I105" s="185"/>
      <c r="J105" s="185"/>
      <c r="K105" s="186"/>
    </row>
    <row r="106" spans="2:11" x14ac:dyDescent="0.4">
      <c r="B106" s="139"/>
      <c r="C106" s="140"/>
      <c r="D106" s="172"/>
      <c r="E106" s="172"/>
      <c r="F106" s="172"/>
      <c r="G106" s="63"/>
      <c r="H106" s="66"/>
      <c r="I106" s="185"/>
      <c r="J106" s="185"/>
      <c r="K106" s="186"/>
    </row>
    <row r="107" spans="2:11" x14ac:dyDescent="0.4">
      <c r="B107" s="139"/>
      <c r="C107" s="140"/>
      <c r="D107" s="172"/>
      <c r="E107" s="172"/>
      <c r="F107" s="172"/>
      <c r="G107" s="63"/>
      <c r="H107" s="66"/>
      <c r="I107" s="185"/>
      <c r="J107" s="185"/>
      <c r="K107" s="186"/>
    </row>
    <row r="108" spans="2:11" x14ac:dyDescent="0.4">
      <c r="B108" s="139"/>
      <c r="C108" s="140"/>
      <c r="D108" s="172"/>
      <c r="E108" s="172"/>
      <c r="F108" s="172"/>
      <c r="G108" s="63"/>
      <c r="H108" s="66"/>
      <c r="I108" s="185"/>
      <c r="J108" s="185"/>
      <c r="K108" s="186"/>
    </row>
    <row r="109" spans="2:11" x14ac:dyDescent="0.4">
      <c r="B109" s="139"/>
      <c r="C109" s="140"/>
      <c r="D109" s="172"/>
      <c r="E109" s="172"/>
      <c r="F109" s="172"/>
      <c r="G109" s="63"/>
      <c r="H109" s="66"/>
      <c r="I109" s="185"/>
      <c r="J109" s="185"/>
      <c r="K109" s="186"/>
    </row>
    <row r="110" spans="2:11" x14ac:dyDescent="0.4">
      <c r="B110" s="139"/>
      <c r="C110" s="140"/>
      <c r="D110" s="172"/>
      <c r="E110" s="172"/>
      <c r="F110" s="172"/>
      <c r="G110" s="63"/>
      <c r="H110" s="66"/>
      <c r="I110" s="185"/>
      <c r="J110" s="185"/>
      <c r="K110" s="186"/>
    </row>
    <row r="111" spans="2:11" x14ac:dyDescent="0.4">
      <c r="B111" s="139"/>
      <c r="C111" s="140"/>
      <c r="D111" s="172"/>
      <c r="E111" s="172"/>
      <c r="F111" s="172"/>
      <c r="G111" s="63"/>
      <c r="H111" s="66"/>
      <c r="I111" s="185"/>
      <c r="J111" s="185"/>
      <c r="K111" s="186"/>
    </row>
    <row r="112" spans="2:11" x14ac:dyDescent="0.4">
      <c r="B112" s="139"/>
      <c r="C112" s="140"/>
      <c r="D112" s="172"/>
      <c r="E112" s="172"/>
      <c r="F112" s="172"/>
      <c r="G112" s="63"/>
      <c r="H112" s="66"/>
      <c r="I112" s="185"/>
      <c r="J112" s="185"/>
      <c r="K112" s="186"/>
    </row>
    <row r="113" spans="2:11" x14ac:dyDescent="0.4">
      <c r="B113" s="139"/>
      <c r="C113" s="140"/>
      <c r="D113" s="172"/>
      <c r="E113" s="172"/>
      <c r="F113" s="172"/>
      <c r="G113" s="63"/>
      <c r="H113" s="66"/>
      <c r="I113" s="185"/>
      <c r="J113" s="185"/>
      <c r="K113" s="186"/>
    </row>
    <row r="114" spans="2:11" x14ac:dyDescent="0.4">
      <c r="B114" s="139"/>
      <c r="C114" s="140"/>
      <c r="D114" s="172"/>
      <c r="E114" s="172"/>
      <c r="F114" s="172"/>
      <c r="G114" s="63"/>
      <c r="H114" s="66"/>
      <c r="I114" s="185"/>
      <c r="J114" s="185"/>
      <c r="K114" s="186"/>
    </row>
    <row r="115" spans="2:11" x14ac:dyDescent="0.4">
      <c r="B115" s="139"/>
      <c r="C115" s="140"/>
      <c r="D115" s="172"/>
      <c r="E115" s="172"/>
      <c r="F115" s="172"/>
      <c r="G115" s="63"/>
      <c r="H115" s="66"/>
      <c r="I115" s="185"/>
      <c r="J115" s="185"/>
      <c r="K115" s="186"/>
    </row>
    <row r="116" spans="2:11" x14ac:dyDescent="0.4">
      <c r="B116" s="139"/>
      <c r="C116" s="140"/>
      <c r="D116" s="172"/>
      <c r="E116" s="172"/>
      <c r="F116" s="172"/>
      <c r="G116" s="63"/>
      <c r="H116" s="66"/>
      <c r="I116" s="185"/>
      <c r="J116" s="185"/>
      <c r="K116" s="186"/>
    </row>
    <row r="117" spans="2:11" x14ac:dyDescent="0.4">
      <c r="B117" s="139"/>
      <c r="C117" s="140"/>
      <c r="D117" s="172"/>
      <c r="E117" s="172"/>
      <c r="F117" s="172"/>
      <c r="G117" s="63"/>
      <c r="H117" s="66"/>
      <c r="I117" s="185"/>
      <c r="J117" s="185"/>
      <c r="K117" s="186"/>
    </row>
    <row r="118" spans="2:11" x14ac:dyDescent="0.4">
      <c r="B118" s="139"/>
      <c r="C118" s="140"/>
      <c r="D118" s="172"/>
      <c r="E118" s="172"/>
      <c r="F118" s="172"/>
      <c r="G118" s="63"/>
      <c r="H118" s="66"/>
      <c r="I118" s="185"/>
      <c r="J118" s="185"/>
      <c r="K118" s="186"/>
    </row>
    <row r="119" spans="2:11" x14ac:dyDescent="0.4">
      <c r="B119" s="139"/>
      <c r="C119" s="140"/>
      <c r="D119" s="172"/>
      <c r="E119" s="172"/>
      <c r="F119" s="172"/>
      <c r="G119" s="63"/>
      <c r="H119" s="66"/>
      <c r="I119" s="185"/>
      <c r="J119" s="185"/>
      <c r="K119" s="186"/>
    </row>
    <row r="120" spans="2:11" x14ac:dyDescent="0.4">
      <c r="B120" s="139"/>
      <c r="C120" s="140"/>
      <c r="D120" s="172"/>
      <c r="E120" s="172"/>
      <c r="F120" s="172"/>
      <c r="G120" s="63"/>
      <c r="H120" s="66"/>
      <c r="I120" s="185"/>
      <c r="J120" s="185"/>
      <c r="K120" s="186"/>
    </row>
    <row r="121" spans="2:11" x14ac:dyDescent="0.4">
      <c r="B121" s="139"/>
      <c r="C121" s="140"/>
      <c r="D121" s="172"/>
      <c r="E121" s="172"/>
      <c r="F121" s="172"/>
      <c r="G121" s="63"/>
      <c r="H121" s="66"/>
      <c r="I121" s="185"/>
      <c r="J121" s="185"/>
      <c r="K121" s="186"/>
    </row>
    <row r="122" spans="2:11" x14ac:dyDescent="0.4">
      <c r="B122" s="139"/>
      <c r="C122" s="140"/>
      <c r="D122" s="172"/>
      <c r="E122" s="172"/>
      <c r="F122" s="172"/>
      <c r="G122" s="63"/>
      <c r="H122" s="66"/>
      <c r="I122" s="185"/>
      <c r="J122" s="185"/>
      <c r="K122" s="186"/>
    </row>
    <row r="123" spans="2:11" x14ac:dyDescent="0.4">
      <c r="B123" s="139"/>
      <c r="C123" s="140"/>
      <c r="D123" s="172"/>
      <c r="E123" s="172"/>
      <c r="F123" s="172"/>
      <c r="G123" s="63"/>
      <c r="H123" s="66"/>
      <c r="I123" s="185"/>
      <c r="J123" s="185"/>
      <c r="K123" s="186"/>
    </row>
    <row r="124" spans="2:11" x14ac:dyDescent="0.4">
      <c r="B124" s="139"/>
      <c r="C124" s="140"/>
      <c r="D124" s="172"/>
      <c r="E124" s="172"/>
      <c r="F124" s="172"/>
      <c r="G124" s="63"/>
      <c r="H124" s="66"/>
      <c r="I124" s="185"/>
      <c r="J124" s="185"/>
      <c r="K124" s="186"/>
    </row>
    <row r="125" spans="2:11" x14ac:dyDescent="0.4">
      <c r="B125" s="139"/>
      <c r="C125" s="140"/>
      <c r="D125" s="172"/>
      <c r="E125" s="172"/>
      <c r="F125" s="172"/>
      <c r="G125" s="63"/>
      <c r="H125" s="66"/>
      <c r="I125" s="185"/>
      <c r="J125" s="185"/>
      <c r="K125" s="186"/>
    </row>
    <row r="126" spans="2:11" x14ac:dyDescent="0.4">
      <c r="B126" s="139"/>
      <c r="C126" s="140"/>
      <c r="D126" s="172"/>
      <c r="E126" s="172"/>
      <c r="F126" s="172"/>
      <c r="G126" s="63"/>
      <c r="H126" s="66"/>
      <c r="I126" s="185"/>
      <c r="J126" s="185"/>
      <c r="K126" s="186"/>
    </row>
    <row r="127" spans="2:11" x14ac:dyDescent="0.4">
      <c r="B127" s="139"/>
      <c r="C127" s="140"/>
      <c r="D127" s="172"/>
      <c r="E127" s="172"/>
      <c r="F127" s="172"/>
      <c r="G127" s="63"/>
      <c r="H127" s="66"/>
      <c r="I127" s="185"/>
      <c r="J127" s="185"/>
      <c r="K127" s="186"/>
    </row>
    <row r="128" spans="2:11" x14ac:dyDescent="0.4">
      <c r="B128" s="139"/>
      <c r="C128" s="140"/>
      <c r="D128" s="172"/>
      <c r="E128" s="172"/>
      <c r="F128" s="172"/>
      <c r="G128" s="63"/>
      <c r="H128" s="66"/>
      <c r="I128" s="185"/>
      <c r="J128" s="185"/>
      <c r="K128" s="186"/>
    </row>
    <row r="129" spans="2:11" x14ac:dyDescent="0.4">
      <c r="B129" s="139"/>
      <c r="C129" s="140"/>
      <c r="D129" s="172"/>
      <c r="E129" s="172"/>
      <c r="F129" s="172"/>
      <c r="G129" s="63"/>
      <c r="H129" s="66"/>
      <c r="I129" s="185"/>
      <c r="J129" s="185"/>
      <c r="K129" s="186"/>
    </row>
    <row r="130" spans="2:11" x14ac:dyDescent="0.4">
      <c r="B130" s="139"/>
      <c r="C130" s="140"/>
      <c r="D130" s="172"/>
      <c r="E130" s="172"/>
      <c r="F130" s="172"/>
      <c r="G130" s="63"/>
      <c r="H130" s="66"/>
      <c r="I130" s="185"/>
      <c r="J130" s="185"/>
      <c r="K130" s="186"/>
    </row>
    <row r="131" spans="2:11" x14ac:dyDescent="0.4">
      <c r="B131" s="139"/>
      <c r="C131" s="140"/>
      <c r="D131" s="172"/>
      <c r="E131" s="172"/>
      <c r="F131" s="172"/>
      <c r="G131" s="63"/>
      <c r="H131" s="66"/>
      <c r="I131" s="185"/>
      <c r="J131" s="185"/>
      <c r="K131" s="186"/>
    </row>
    <row r="132" spans="2:11" x14ac:dyDescent="0.4">
      <c r="B132" s="139"/>
      <c r="C132" s="140"/>
      <c r="D132" s="172"/>
      <c r="E132" s="172"/>
      <c r="F132" s="172"/>
      <c r="G132" s="63"/>
      <c r="H132" s="66"/>
      <c r="I132" s="185"/>
      <c r="J132" s="185"/>
      <c r="K132" s="186"/>
    </row>
    <row r="133" spans="2:11" x14ac:dyDescent="0.4">
      <c r="B133" s="139"/>
      <c r="C133" s="140"/>
      <c r="D133" s="172"/>
      <c r="E133" s="172"/>
      <c r="F133" s="172"/>
      <c r="G133" s="63"/>
      <c r="H133" s="66"/>
      <c r="I133" s="185"/>
      <c r="J133" s="185"/>
      <c r="K133" s="186"/>
    </row>
    <row r="134" spans="2:11" x14ac:dyDescent="0.4">
      <c r="B134" s="139"/>
      <c r="C134" s="140"/>
      <c r="D134" s="172"/>
      <c r="E134" s="172"/>
      <c r="F134" s="172"/>
      <c r="G134" s="63"/>
      <c r="H134" s="66"/>
      <c r="I134" s="185"/>
      <c r="J134" s="185"/>
      <c r="K134" s="186"/>
    </row>
    <row r="135" spans="2:11" x14ac:dyDescent="0.4">
      <c r="B135" s="139"/>
      <c r="C135" s="140"/>
      <c r="D135" s="172"/>
      <c r="E135" s="172"/>
      <c r="F135" s="172"/>
      <c r="G135" s="63"/>
      <c r="H135" s="66"/>
      <c r="I135" s="185"/>
      <c r="J135" s="185"/>
      <c r="K135" s="186"/>
    </row>
    <row r="136" spans="2:11" x14ac:dyDescent="0.4">
      <c r="B136" s="139"/>
      <c r="C136" s="140"/>
      <c r="D136" s="172"/>
      <c r="E136" s="172"/>
      <c r="F136" s="172"/>
      <c r="G136" s="63"/>
      <c r="H136" s="66"/>
      <c r="I136" s="185"/>
      <c r="J136" s="185"/>
      <c r="K136" s="186"/>
    </row>
    <row r="137" spans="2:11" x14ac:dyDescent="0.4">
      <c r="B137" s="139"/>
      <c r="C137" s="140"/>
      <c r="D137" s="172"/>
      <c r="E137" s="172"/>
      <c r="F137" s="172"/>
      <c r="G137" s="63"/>
      <c r="H137" s="66"/>
      <c r="I137" s="185"/>
      <c r="J137" s="185"/>
      <c r="K137" s="186"/>
    </row>
    <row r="138" spans="2:11" x14ac:dyDescent="0.4">
      <c r="B138" s="139"/>
      <c r="C138" s="140"/>
      <c r="D138" s="172"/>
      <c r="E138" s="172"/>
      <c r="F138" s="172"/>
      <c r="G138" s="63"/>
      <c r="H138" s="66"/>
      <c r="I138" s="185"/>
      <c r="J138" s="185"/>
      <c r="K138" s="186"/>
    </row>
    <row r="139" spans="2:11" x14ac:dyDescent="0.4">
      <c r="B139" s="139"/>
      <c r="C139" s="140"/>
      <c r="D139" s="172"/>
      <c r="E139" s="172"/>
      <c r="F139" s="172"/>
      <c r="G139" s="63"/>
      <c r="H139" s="66"/>
      <c r="I139" s="185"/>
      <c r="J139" s="185"/>
      <c r="K139" s="186"/>
    </row>
    <row r="140" spans="2:11" x14ac:dyDescent="0.4">
      <c r="B140" s="139"/>
      <c r="C140" s="140"/>
      <c r="D140" s="172"/>
      <c r="E140" s="172"/>
      <c r="F140" s="172"/>
      <c r="G140" s="63"/>
      <c r="H140" s="66"/>
      <c r="I140" s="185"/>
      <c r="J140" s="185"/>
      <c r="K140" s="186"/>
    </row>
    <row r="141" spans="2:11" x14ac:dyDescent="0.4">
      <c r="B141" s="139"/>
      <c r="C141" s="140"/>
      <c r="D141" s="172"/>
      <c r="E141" s="172"/>
      <c r="F141" s="172"/>
      <c r="G141" s="63"/>
      <c r="H141" s="66"/>
      <c r="I141" s="185"/>
      <c r="J141" s="185"/>
      <c r="K141" s="186"/>
    </row>
    <row r="142" spans="2:11" x14ac:dyDescent="0.4">
      <c r="B142" s="139"/>
      <c r="C142" s="140"/>
      <c r="D142" s="172"/>
      <c r="E142" s="172"/>
      <c r="F142" s="172"/>
      <c r="G142" s="63"/>
      <c r="H142" s="66"/>
      <c r="I142" s="185"/>
      <c r="J142" s="185"/>
      <c r="K142" s="186"/>
    </row>
    <row r="143" spans="2:11" x14ac:dyDescent="0.4">
      <c r="B143" s="139"/>
      <c r="C143" s="140"/>
      <c r="D143" s="172"/>
      <c r="E143" s="172"/>
      <c r="F143" s="172"/>
      <c r="G143" s="63"/>
      <c r="H143" s="66"/>
      <c r="I143" s="185"/>
      <c r="J143" s="185"/>
      <c r="K143" s="186"/>
    </row>
    <row r="144" spans="2:11" x14ac:dyDescent="0.4">
      <c r="B144" s="139"/>
      <c r="C144" s="140"/>
      <c r="D144" s="172"/>
      <c r="E144" s="172"/>
      <c r="F144" s="172"/>
      <c r="G144" s="63"/>
      <c r="H144" s="66"/>
      <c r="I144" s="185"/>
      <c r="J144" s="185"/>
      <c r="K144" s="186"/>
    </row>
    <row r="145" spans="2:11" x14ac:dyDescent="0.4">
      <c r="B145" s="139"/>
      <c r="C145" s="140"/>
      <c r="D145" s="172"/>
      <c r="E145" s="172"/>
      <c r="F145" s="172"/>
      <c r="G145" s="63"/>
      <c r="H145" s="66"/>
      <c r="I145" s="185"/>
      <c r="J145" s="185"/>
      <c r="K145" s="186"/>
    </row>
    <row r="146" spans="2:11" x14ac:dyDescent="0.4">
      <c r="B146" s="139"/>
      <c r="C146" s="140"/>
      <c r="D146" s="172"/>
      <c r="E146" s="172"/>
      <c r="F146" s="172"/>
      <c r="G146" s="63"/>
      <c r="H146" s="66"/>
      <c r="I146" s="185"/>
      <c r="J146" s="185"/>
      <c r="K146" s="186"/>
    </row>
    <row r="147" spans="2:11" x14ac:dyDescent="0.4">
      <c r="B147" s="139"/>
      <c r="C147" s="140"/>
      <c r="D147" s="172"/>
      <c r="E147" s="172"/>
      <c r="F147" s="172"/>
      <c r="G147" s="63"/>
      <c r="H147" s="66"/>
      <c r="I147" s="185"/>
      <c r="J147" s="185"/>
      <c r="K147" s="186"/>
    </row>
    <row r="148" spans="2:11" x14ac:dyDescent="0.4">
      <c r="B148" s="139"/>
      <c r="C148" s="140"/>
      <c r="D148" s="172"/>
      <c r="E148" s="172"/>
      <c r="F148" s="172"/>
      <c r="G148" s="63"/>
      <c r="H148" s="66"/>
      <c r="I148" s="185"/>
      <c r="J148" s="185"/>
      <c r="K148" s="186"/>
    </row>
    <row r="149" spans="2:11" x14ac:dyDescent="0.4">
      <c r="B149" s="139"/>
      <c r="C149" s="140"/>
      <c r="D149" s="172"/>
      <c r="E149" s="172"/>
      <c r="F149" s="172"/>
      <c r="G149" s="63"/>
      <c r="H149" s="66"/>
      <c r="I149" s="185"/>
      <c r="J149" s="185"/>
      <c r="K149" s="186"/>
    </row>
    <row r="150" spans="2:11" x14ac:dyDescent="0.4">
      <c r="B150" s="139"/>
      <c r="C150" s="140"/>
      <c r="D150" s="172"/>
      <c r="E150" s="172"/>
      <c r="F150" s="172"/>
      <c r="G150" s="63"/>
      <c r="H150" s="66"/>
      <c r="I150" s="185"/>
      <c r="J150" s="185"/>
      <c r="K150" s="186"/>
    </row>
    <row r="151" spans="2:11" x14ac:dyDescent="0.4">
      <c r="B151" s="139"/>
      <c r="C151" s="140"/>
      <c r="D151" s="172"/>
      <c r="E151" s="172"/>
      <c r="F151" s="172"/>
      <c r="G151" s="63"/>
      <c r="H151" s="66"/>
      <c r="I151" s="185"/>
      <c r="J151" s="185"/>
      <c r="K151" s="186"/>
    </row>
    <row r="152" spans="2:11" x14ac:dyDescent="0.4">
      <c r="B152" s="139"/>
      <c r="C152" s="140"/>
      <c r="D152" s="172"/>
      <c r="E152" s="172"/>
      <c r="F152" s="172"/>
      <c r="G152" s="63"/>
      <c r="H152" s="66"/>
      <c r="I152" s="185"/>
      <c r="J152" s="185"/>
      <c r="K152" s="186"/>
    </row>
    <row r="153" spans="2:11" x14ac:dyDescent="0.4">
      <c r="B153" s="139"/>
      <c r="C153" s="140"/>
      <c r="D153" s="172"/>
      <c r="E153" s="172"/>
      <c r="F153" s="172"/>
      <c r="G153" s="63"/>
      <c r="H153" s="66"/>
      <c r="I153" s="185"/>
      <c r="J153" s="185"/>
      <c r="K153" s="186"/>
    </row>
    <row r="154" spans="2:11" x14ac:dyDescent="0.4">
      <c r="B154" s="139"/>
      <c r="C154" s="140"/>
      <c r="D154" s="172"/>
      <c r="E154" s="172"/>
      <c r="F154" s="172"/>
      <c r="G154" s="63"/>
      <c r="H154" s="66"/>
      <c r="I154" s="185"/>
      <c r="J154" s="185"/>
      <c r="K154" s="186"/>
    </row>
    <row r="155" spans="2:11" x14ac:dyDescent="0.4">
      <c r="B155" s="139"/>
      <c r="C155" s="140"/>
      <c r="D155" s="172"/>
      <c r="E155" s="172"/>
      <c r="F155" s="172"/>
      <c r="G155" s="63"/>
      <c r="H155" s="66"/>
      <c r="I155" s="185"/>
      <c r="J155" s="185"/>
      <c r="K155" s="186"/>
    </row>
    <row r="156" spans="2:11" x14ac:dyDescent="0.4">
      <c r="B156" s="139"/>
      <c r="C156" s="140"/>
      <c r="D156" s="172"/>
      <c r="E156" s="172"/>
      <c r="F156" s="172"/>
      <c r="G156" s="63"/>
      <c r="H156" s="66"/>
      <c r="I156" s="185"/>
      <c r="J156" s="185"/>
      <c r="K156" s="186"/>
    </row>
    <row r="157" spans="2:11" x14ac:dyDescent="0.4">
      <c r="B157" s="139"/>
      <c r="C157" s="140"/>
      <c r="D157" s="172"/>
      <c r="E157" s="172"/>
      <c r="F157" s="172"/>
      <c r="G157" s="63"/>
      <c r="H157" s="66"/>
      <c r="I157" s="185"/>
      <c r="J157" s="185"/>
      <c r="K157" s="186"/>
    </row>
    <row r="158" spans="2:11" x14ac:dyDescent="0.4">
      <c r="B158" s="139"/>
      <c r="C158" s="140"/>
      <c r="D158" s="172"/>
      <c r="E158" s="172"/>
      <c r="F158" s="172"/>
      <c r="G158" s="63"/>
      <c r="H158" s="66"/>
      <c r="I158" s="185"/>
      <c r="J158" s="185"/>
      <c r="K158" s="186"/>
    </row>
    <row r="159" spans="2:11" x14ac:dyDescent="0.4">
      <c r="B159" s="139"/>
      <c r="C159" s="140"/>
      <c r="D159" s="172"/>
      <c r="E159" s="172"/>
      <c r="F159" s="172"/>
      <c r="G159" s="63"/>
      <c r="H159" s="66"/>
      <c r="I159" s="185"/>
      <c r="J159" s="185"/>
      <c r="K159" s="186"/>
    </row>
    <row r="160" spans="2:11" x14ac:dyDescent="0.4">
      <c r="B160" s="139"/>
      <c r="C160" s="140"/>
      <c r="D160" s="172"/>
      <c r="E160" s="172"/>
      <c r="F160" s="172"/>
      <c r="G160" s="63"/>
      <c r="H160" s="66"/>
      <c r="I160" s="185"/>
      <c r="J160" s="185"/>
      <c r="K160" s="186"/>
    </row>
    <row r="161" spans="2:11" x14ac:dyDescent="0.4">
      <c r="B161" s="139"/>
      <c r="C161" s="140"/>
      <c r="D161" s="172"/>
      <c r="E161" s="172"/>
      <c r="F161" s="172"/>
      <c r="G161" s="63"/>
      <c r="H161" s="66"/>
      <c r="I161" s="185"/>
      <c r="J161" s="185"/>
      <c r="K161" s="186"/>
    </row>
    <row r="162" spans="2:11" x14ac:dyDescent="0.4">
      <c r="B162" s="139"/>
      <c r="C162" s="140"/>
      <c r="D162" s="172"/>
      <c r="E162" s="172"/>
      <c r="F162" s="172"/>
      <c r="G162" s="63"/>
      <c r="H162" s="66"/>
      <c r="I162" s="185"/>
      <c r="J162" s="185"/>
      <c r="K162" s="186"/>
    </row>
    <row r="163" spans="2:11" x14ac:dyDescent="0.4">
      <c r="B163" s="139"/>
      <c r="C163" s="140"/>
      <c r="D163" s="172"/>
      <c r="E163" s="172"/>
      <c r="F163" s="172"/>
      <c r="G163" s="63"/>
      <c r="H163" s="66"/>
      <c r="I163" s="185"/>
      <c r="J163" s="185"/>
      <c r="K163" s="186"/>
    </row>
    <row r="164" spans="2:11" x14ac:dyDescent="0.4">
      <c r="B164" s="139"/>
      <c r="C164" s="140"/>
      <c r="D164" s="172"/>
      <c r="E164" s="172"/>
      <c r="F164" s="172"/>
      <c r="G164" s="63"/>
      <c r="H164" s="66"/>
      <c r="I164" s="185"/>
      <c r="J164" s="185"/>
      <c r="K164" s="186"/>
    </row>
    <row r="165" spans="2:11" x14ac:dyDescent="0.4">
      <c r="B165" s="139"/>
      <c r="C165" s="140"/>
      <c r="D165" s="172"/>
      <c r="E165" s="172"/>
      <c r="F165" s="172"/>
      <c r="G165" s="63"/>
      <c r="H165" s="66"/>
      <c r="I165" s="185"/>
      <c r="J165" s="185"/>
      <c r="K165" s="186"/>
    </row>
    <row r="166" spans="2:11" x14ac:dyDescent="0.4">
      <c r="B166" s="139"/>
      <c r="C166" s="140"/>
      <c r="D166" s="172"/>
      <c r="E166" s="172"/>
      <c r="F166" s="172"/>
      <c r="G166" s="63"/>
      <c r="H166" s="66"/>
      <c r="I166" s="185"/>
      <c r="J166" s="185"/>
      <c r="K166" s="186"/>
    </row>
    <row r="167" spans="2:11" x14ac:dyDescent="0.4">
      <c r="B167" s="139"/>
      <c r="C167" s="140"/>
      <c r="D167" s="172"/>
      <c r="E167" s="172"/>
      <c r="F167" s="172"/>
      <c r="G167" s="63"/>
      <c r="H167" s="66"/>
      <c r="I167" s="185"/>
      <c r="J167" s="185"/>
      <c r="K167" s="186"/>
    </row>
    <row r="168" spans="2:11" x14ac:dyDescent="0.4">
      <c r="B168" s="139"/>
      <c r="C168" s="140"/>
      <c r="D168" s="172"/>
      <c r="E168" s="172"/>
      <c r="F168" s="172"/>
      <c r="G168" s="63"/>
      <c r="H168" s="66"/>
      <c r="I168" s="185"/>
      <c r="J168" s="185"/>
      <c r="K168" s="186"/>
    </row>
    <row r="169" spans="2:11" x14ac:dyDescent="0.4">
      <c r="B169" s="139"/>
      <c r="C169" s="140"/>
      <c r="D169" s="172"/>
      <c r="E169" s="172"/>
      <c r="F169" s="172"/>
      <c r="G169" s="63"/>
      <c r="H169" s="66"/>
      <c r="I169" s="185"/>
      <c r="J169" s="185"/>
      <c r="K169" s="186"/>
    </row>
    <row r="170" spans="2:11" x14ac:dyDescent="0.4">
      <c r="B170" s="139"/>
      <c r="C170" s="140"/>
      <c r="D170" s="172"/>
      <c r="E170" s="172"/>
      <c r="F170" s="172"/>
      <c r="G170" s="63"/>
      <c r="H170" s="66"/>
      <c r="I170" s="185"/>
      <c r="J170" s="185"/>
      <c r="K170" s="186"/>
    </row>
    <row r="171" spans="2:11" x14ac:dyDescent="0.4">
      <c r="B171" s="139"/>
      <c r="C171" s="140"/>
      <c r="D171" s="172"/>
      <c r="E171" s="172"/>
      <c r="F171" s="172"/>
      <c r="G171" s="63"/>
      <c r="H171" s="66"/>
      <c r="I171" s="185"/>
      <c r="J171" s="185"/>
      <c r="K171" s="186"/>
    </row>
    <row r="172" spans="2:11" x14ac:dyDescent="0.4">
      <c r="B172" s="139"/>
      <c r="C172" s="140"/>
      <c r="D172" s="172"/>
      <c r="E172" s="172"/>
      <c r="F172" s="172"/>
      <c r="G172" s="63"/>
      <c r="H172" s="66"/>
      <c r="I172" s="185"/>
      <c r="J172" s="185"/>
      <c r="K172" s="186"/>
    </row>
    <row r="173" spans="2:11" x14ac:dyDescent="0.4">
      <c r="B173" s="139"/>
      <c r="C173" s="140"/>
      <c r="D173" s="172"/>
      <c r="E173" s="172"/>
      <c r="F173" s="172"/>
      <c r="G173" s="63"/>
      <c r="H173" s="66"/>
      <c r="I173" s="185"/>
      <c r="J173" s="185"/>
      <c r="K173" s="186"/>
    </row>
    <row r="174" spans="2:11" x14ac:dyDescent="0.4">
      <c r="B174" s="139"/>
      <c r="C174" s="140"/>
      <c r="D174" s="172"/>
      <c r="E174" s="172"/>
      <c r="F174" s="172"/>
      <c r="G174" s="63"/>
      <c r="H174" s="66"/>
      <c r="I174" s="185"/>
      <c r="J174" s="185"/>
      <c r="K174" s="186"/>
    </row>
    <row r="175" spans="2:11" x14ac:dyDescent="0.4">
      <c r="B175" s="139"/>
      <c r="C175" s="140"/>
      <c r="D175" s="172"/>
      <c r="E175" s="172"/>
      <c r="F175" s="172"/>
      <c r="G175" s="63"/>
      <c r="H175" s="66"/>
      <c r="I175" s="185"/>
      <c r="J175" s="185"/>
      <c r="K175" s="186"/>
    </row>
    <row r="176" spans="2:11" x14ac:dyDescent="0.4">
      <c r="B176" s="139"/>
      <c r="C176" s="140"/>
      <c r="D176" s="172"/>
      <c r="E176" s="172"/>
      <c r="F176" s="172"/>
      <c r="G176" s="63"/>
      <c r="H176" s="66"/>
      <c r="I176" s="185"/>
      <c r="J176" s="185"/>
      <c r="K176" s="186"/>
    </row>
    <row r="177" spans="2:11" x14ac:dyDescent="0.4">
      <c r="B177" s="139"/>
      <c r="C177" s="140"/>
      <c r="D177" s="172"/>
      <c r="E177" s="172"/>
      <c r="F177" s="172"/>
      <c r="G177" s="63"/>
      <c r="H177" s="66"/>
      <c r="I177" s="185"/>
      <c r="J177" s="185"/>
      <c r="K177" s="186"/>
    </row>
    <row r="178" spans="2:11" x14ac:dyDescent="0.4">
      <c r="B178" s="139"/>
      <c r="C178" s="140"/>
      <c r="D178" s="172"/>
      <c r="E178" s="172"/>
      <c r="F178" s="172"/>
      <c r="G178" s="63"/>
      <c r="H178" s="66"/>
      <c r="I178" s="185"/>
      <c r="J178" s="185"/>
      <c r="K178" s="186"/>
    </row>
    <row r="179" spans="2:11" x14ac:dyDescent="0.4">
      <c r="B179" s="139"/>
      <c r="C179" s="140"/>
      <c r="D179" s="172"/>
      <c r="E179" s="172"/>
      <c r="F179" s="172"/>
      <c r="G179" s="63"/>
      <c r="H179" s="66"/>
      <c r="I179" s="185"/>
      <c r="J179" s="185"/>
      <c r="K179" s="186"/>
    </row>
    <row r="180" spans="2:11" x14ac:dyDescent="0.4">
      <c r="B180" s="139"/>
      <c r="C180" s="140"/>
      <c r="D180" s="172"/>
      <c r="E180" s="172"/>
      <c r="F180" s="172"/>
      <c r="G180" s="63"/>
      <c r="H180" s="66"/>
      <c r="I180" s="185"/>
      <c r="J180" s="185"/>
      <c r="K180" s="186"/>
    </row>
    <row r="181" spans="2:11" x14ac:dyDescent="0.4">
      <c r="B181" s="139"/>
      <c r="C181" s="140"/>
      <c r="D181" s="172"/>
      <c r="E181" s="172"/>
      <c r="F181" s="172"/>
      <c r="G181" s="63"/>
      <c r="H181" s="66"/>
      <c r="I181" s="185"/>
      <c r="J181" s="185"/>
      <c r="K181" s="186"/>
    </row>
    <row r="182" spans="2:11" x14ac:dyDescent="0.4">
      <c r="B182" s="139"/>
      <c r="C182" s="140"/>
      <c r="D182" s="172"/>
      <c r="E182" s="172"/>
      <c r="F182" s="172"/>
      <c r="G182" s="63"/>
      <c r="H182" s="66"/>
      <c r="I182" s="185"/>
      <c r="J182" s="185"/>
      <c r="K182" s="186"/>
    </row>
    <row r="183" spans="2:11" x14ac:dyDescent="0.4">
      <c r="B183" s="139"/>
      <c r="C183" s="140"/>
      <c r="D183" s="172"/>
      <c r="E183" s="172"/>
      <c r="F183" s="172"/>
      <c r="G183" s="63"/>
      <c r="H183" s="66"/>
      <c r="I183" s="185"/>
      <c r="J183" s="185"/>
      <c r="K183" s="186"/>
    </row>
    <row r="184" spans="2:11" x14ac:dyDescent="0.4">
      <c r="B184" s="139"/>
      <c r="C184" s="140"/>
      <c r="D184" s="172"/>
      <c r="E184" s="172"/>
      <c r="F184" s="172"/>
      <c r="G184" s="63"/>
      <c r="H184" s="66"/>
      <c r="I184" s="185"/>
      <c r="J184" s="185"/>
      <c r="K184" s="186"/>
    </row>
    <row r="185" spans="2:11" x14ac:dyDescent="0.4">
      <c r="B185" s="139"/>
      <c r="C185" s="140"/>
      <c r="D185" s="172"/>
      <c r="E185" s="172"/>
      <c r="F185" s="172"/>
      <c r="G185" s="63"/>
      <c r="H185" s="66"/>
      <c r="I185" s="185"/>
      <c r="J185" s="185"/>
      <c r="K185" s="186"/>
    </row>
    <row r="186" spans="2:11" x14ac:dyDescent="0.4">
      <c r="B186" s="139"/>
      <c r="C186" s="140"/>
      <c r="D186" s="172"/>
      <c r="E186" s="172"/>
      <c r="F186" s="172"/>
      <c r="G186" s="63"/>
      <c r="H186" s="66"/>
      <c r="I186" s="185"/>
      <c r="J186" s="185"/>
      <c r="K186" s="186"/>
    </row>
    <row r="187" spans="2:11" x14ac:dyDescent="0.4">
      <c r="B187" s="139"/>
      <c r="C187" s="140"/>
      <c r="D187" s="172"/>
      <c r="E187" s="172"/>
      <c r="F187" s="172"/>
      <c r="G187" s="63"/>
      <c r="H187" s="66"/>
      <c r="I187" s="185"/>
      <c r="J187" s="185"/>
      <c r="K187" s="186"/>
    </row>
    <row r="188" spans="2:11" x14ac:dyDescent="0.4">
      <c r="B188" s="139"/>
      <c r="C188" s="140"/>
      <c r="D188" s="172"/>
      <c r="E188" s="172"/>
      <c r="F188" s="172"/>
      <c r="G188" s="63"/>
      <c r="H188" s="66"/>
      <c r="I188" s="185"/>
      <c r="J188" s="185"/>
      <c r="K188" s="186"/>
    </row>
    <row r="189" spans="2:11" x14ac:dyDescent="0.4">
      <c r="B189" s="139"/>
      <c r="C189" s="140"/>
      <c r="D189" s="172"/>
      <c r="E189" s="172"/>
      <c r="F189" s="172"/>
      <c r="G189" s="63"/>
      <c r="H189" s="66"/>
      <c r="I189" s="185"/>
      <c r="J189" s="185"/>
      <c r="K189" s="186"/>
    </row>
    <row r="190" spans="2:11" x14ac:dyDescent="0.4">
      <c r="B190" s="139"/>
      <c r="C190" s="140"/>
      <c r="D190" s="172"/>
      <c r="E190" s="172"/>
      <c r="F190" s="172"/>
      <c r="G190" s="63"/>
      <c r="H190" s="66"/>
      <c r="I190" s="185"/>
      <c r="J190" s="185"/>
      <c r="K190" s="186"/>
    </row>
    <row r="191" spans="2:11" x14ac:dyDescent="0.4">
      <c r="B191" s="139"/>
      <c r="C191" s="140"/>
      <c r="D191" s="172"/>
      <c r="E191" s="172"/>
      <c r="F191" s="172"/>
      <c r="G191" s="63"/>
      <c r="H191" s="66"/>
      <c r="I191" s="185"/>
      <c r="J191" s="185"/>
      <c r="K191" s="186"/>
    </row>
    <row r="192" spans="2:11" x14ac:dyDescent="0.4">
      <c r="B192" s="139"/>
      <c r="C192" s="140"/>
      <c r="D192" s="172"/>
      <c r="E192" s="172"/>
      <c r="F192" s="172"/>
      <c r="G192" s="63"/>
      <c r="H192" s="66"/>
      <c r="I192" s="185"/>
      <c r="J192" s="185"/>
      <c r="K192" s="186"/>
    </row>
    <row r="193" spans="2:11" x14ac:dyDescent="0.4">
      <c r="B193" s="139"/>
      <c r="C193" s="140"/>
      <c r="D193" s="172"/>
      <c r="E193" s="172"/>
      <c r="F193" s="172"/>
      <c r="G193" s="63"/>
      <c r="H193" s="66"/>
      <c r="I193" s="185"/>
      <c r="J193" s="185"/>
      <c r="K193" s="186"/>
    </row>
    <row r="194" spans="2:11" x14ac:dyDescent="0.4">
      <c r="B194" s="139"/>
      <c r="C194" s="140"/>
      <c r="D194" s="172"/>
      <c r="E194" s="172"/>
      <c r="F194" s="172"/>
      <c r="G194" s="63"/>
      <c r="H194" s="66"/>
      <c r="I194" s="185"/>
      <c r="J194" s="185"/>
      <c r="K194" s="186"/>
    </row>
    <row r="195" spans="2:11" x14ac:dyDescent="0.4">
      <c r="B195" s="139"/>
      <c r="C195" s="140"/>
      <c r="D195" s="172"/>
      <c r="E195" s="172"/>
      <c r="F195" s="172"/>
      <c r="G195" s="63"/>
      <c r="H195" s="66"/>
      <c r="I195" s="185"/>
      <c r="J195" s="185"/>
      <c r="K195" s="186"/>
    </row>
    <row r="196" spans="2:11" x14ac:dyDescent="0.4">
      <c r="B196" s="139"/>
      <c r="C196" s="140"/>
      <c r="D196" s="172"/>
      <c r="E196" s="172"/>
      <c r="F196" s="172"/>
      <c r="G196" s="63"/>
      <c r="H196" s="66"/>
      <c r="I196" s="185"/>
      <c r="J196" s="185"/>
      <c r="K196" s="186"/>
    </row>
    <row r="197" spans="2:11" x14ac:dyDescent="0.4">
      <c r="B197" s="139"/>
      <c r="C197" s="140"/>
      <c r="D197" s="172"/>
      <c r="E197" s="172"/>
      <c r="F197" s="172"/>
      <c r="G197" s="63"/>
      <c r="H197" s="66"/>
      <c r="I197" s="185"/>
      <c r="J197" s="185"/>
      <c r="K197" s="186"/>
    </row>
    <row r="198" spans="2:11" x14ac:dyDescent="0.4">
      <c r="B198" s="139"/>
      <c r="C198" s="140"/>
      <c r="D198" s="172"/>
      <c r="E198" s="172"/>
      <c r="F198" s="172"/>
      <c r="G198" s="63"/>
      <c r="H198" s="66"/>
      <c r="I198" s="185"/>
      <c r="J198" s="185"/>
      <c r="K198" s="186"/>
    </row>
    <row r="199" spans="2:11" x14ac:dyDescent="0.4">
      <c r="B199" s="139"/>
      <c r="C199" s="140"/>
      <c r="D199" s="172"/>
      <c r="E199" s="172"/>
      <c r="F199" s="172"/>
      <c r="G199" s="63"/>
      <c r="H199" s="66"/>
      <c r="I199" s="185"/>
      <c r="J199" s="185"/>
      <c r="K199" s="186"/>
    </row>
    <row r="200" spans="2:11" x14ac:dyDescent="0.4">
      <c r="B200" s="139"/>
      <c r="C200" s="140"/>
      <c r="D200" s="172"/>
      <c r="E200" s="172"/>
      <c r="F200" s="172"/>
      <c r="G200" s="63"/>
      <c r="H200" s="66"/>
      <c r="I200" s="185"/>
      <c r="J200" s="185"/>
      <c r="K200" s="186"/>
    </row>
    <row r="201" spans="2:11" x14ac:dyDescent="0.4">
      <c r="B201" s="139"/>
      <c r="C201" s="140"/>
      <c r="D201" s="172"/>
      <c r="E201" s="172"/>
      <c r="F201" s="172"/>
      <c r="G201" s="63"/>
      <c r="H201" s="66"/>
      <c r="I201" s="185"/>
      <c r="J201" s="185"/>
      <c r="K201" s="186"/>
    </row>
    <row r="202" spans="2:11" x14ac:dyDescent="0.4">
      <c r="B202" s="139"/>
      <c r="C202" s="140"/>
      <c r="D202" s="172"/>
      <c r="E202" s="172"/>
      <c r="F202" s="172"/>
      <c r="G202" s="63"/>
      <c r="H202" s="66"/>
      <c r="I202" s="185"/>
      <c r="J202" s="185"/>
      <c r="K202" s="186"/>
    </row>
    <row r="203" spans="2:11" x14ac:dyDescent="0.4">
      <c r="B203" s="139"/>
      <c r="C203" s="140"/>
      <c r="D203" s="172"/>
      <c r="E203" s="172"/>
      <c r="F203" s="172"/>
      <c r="G203" s="63"/>
      <c r="H203" s="66"/>
      <c r="I203" s="185"/>
      <c r="J203" s="185"/>
      <c r="K203" s="186"/>
    </row>
    <row r="204" spans="2:11" x14ac:dyDescent="0.4">
      <c r="B204" s="139"/>
      <c r="C204" s="140"/>
      <c r="D204" s="172"/>
      <c r="E204" s="172"/>
      <c r="F204" s="172"/>
      <c r="G204" s="63"/>
      <c r="H204" s="66"/>
      <c r="I204" s="185"/>
      <c r="J204" s="185"/>
      <c r="K204" s="186"/>
    </row>
    <row r="205" spans="2:11" x14ac:dyDescent="0.4">
      <c r="B205" s="139"/>
      <c r="C205" s="140"/>
      <c r="D205" s="172"/>
      <c r="E205" s="172"/>
      <c r="F205" s="172"/>
      <c r="G205" s="63"/>
      <c r="H205" s="66"/>
      <c r="I205" s="185"/>
      <c r="J205" s="185"/>
      <c r="K205" s="186"/>
    </row>
    <row r="206" spans="2:11" x14ac:dyDescent="0.4">
      <c r="B206" s="139"/>
      <c r="C206" s="140"/>
      <c r="D206" s="172"/>
      <c r="E206" s="172"/>
      <c r="F206" s="172"/>
      <c r="G206" s="63"/>
      <c r="H206" s="66"/>
      <c r="I206" s="185"/>
      <c r="J206" s="185"/>
      <c r="K206" s="186"/>
    </row>
    <row r="207" spans="2:11" x14ac:dyDescent="0.4">
      <c r="B207" s="139"/>
      <c r="C207" s="140"/>
      <c r="D207" s="172"/>
      <c r="E207" s="172"/>
      <c r="F207" s="172"/>
      <c r="G207" s="63"/>
      <c r="H207" s="66"/>
      <c r="I207" s="185"/>
      <c r="J207" s="185"/>
      <c r="K207" s="186"/>
    </row>
    <row r="208" spans="2:11" x14ac:dyDescent="0.4">
      <c r="B208" s="139"/>
      <c r="C208" s="140"/>
      <c r="D208" s="172"/>
      <c r="E208" s="172"/>
      <c r="F208" s="172"/>
      <c r="G208" s="63"/>
      <c r="H208" s="66"/>
      <c r="I208" s="185"/>
      <c r="J208" s="185"/>
      <c r="K208" s="186"/>
    </row>
    <row r="209" spans="2:11" x14ac:dyDescent="0.4">
      <c r="B209" s="139"/>
      <c r="C209" s="140"/>
      <c r="D209" s="172"/>
      <c r="E209" s="172"/>
      <c r="F209" s="172"/>
      <c r="G209" s="63"/>
      <c r="H209" s="66"/>
      <c r="I209" s="185"/>
      <c r="J209" s="185"/>
      <c r="K209" s="186"/>
    </row>
    <row r="210" spans="2:11" x14ac:dyDescent="0.4">
      <c r="B210" s="139"/>
      <c r="C210" s="140"/>
      <c r="D210" s="172"/>
      <c r="E210" s="172"/>
      <c r="F210" s="172"/>
      <c r="G210" s="63"/>
      <c r="H210" s="66"/>
      <c r="I210" s="185"/>
      <c r="J210" s="185"/>
      <c r="K210" s="186"/>
    </row>
    <row r="211" spans="2:11" x14ac:dyDescent="0.4">
      <c r="B211" s="139"/>
      <c r="C211" s="140"/>
      <c r="D211" s="172"/>
      <c r="E211" s="172"/>
      <c r="F211" s="172"/>
      <c r="G211" s="63"/>
      <c r="H211" s="66"/>
      <c r="I211" s="185"/>
      <c r="J211" s="185"/>
      <c r="K211" s="186"/>
    </row>
    <row r="212" spans="2:11" x14ac:dyDescent="0.4">
      <c r="B212" s="139"/>
      <c r="C212" s="140"/>
      <c r="D212" s="172"/>
      <c r="E212" s="172"/>
      <c r="F212" s="172"/>
      <c r="G212" s="63"/>
      <c r="H212" s="66"/>
      <c r="I212" s="185"/>
      <c r="J212" s="185"/>
      <c r="K212" s="186"/>
    </row>
    <row r="213" spans="2:11" x14ac:dyDescent="0.4">
      <c r="B213" s="139"/>
      <c r="C213" s="140"/>
      <c r="D213" s="172"/>
      <c r="E213" s="172"/>
      <c r="F213" s="172"/>
      <c r="G213" s="63"/>
      <c r="H213" s="66"/>
      <c r="I213" s="185"/>
      <c r="J213" s="185"/>
      <c r="K213" s="186"/>
    </row>
    <row r="214" spans="2:11" x14ac:dyDescent="0.4">
      <c r="B214" s="139"/>
      <c r="C214" s="140"/>
      <c r="D214" s="172"/>
      <c r="E214" s="172"/>
      <c r="F214" s="172"/>
      <c r="G214" s="63"/>
      <c r="H214" s="66"/>
      <c r="I214" s="185"/>
      <c r="J214" s="185"/>
      <c r="K214" s="186"/>
    </row>
    <row r="215" spans="2:11" x14ac:dyDescent="0.4">
      <c r="B215" s="139"/>
      <c r="C215" s="140"/>
      <c r="D215" s="172"/>
      <c r="E215" s="172"/>
      <c r="F215" s="172"/>
      <c r="G215" s="63"/>
      <c r="H215" s="66"/>
      <c r="I215" s="185"/>
      <c r="J215" s="185"/>
      <c r="K215" s="186"/>
    </row>
    <row r="216" spans="2:11" x14ac:dyDescent="0.4">
      <c r="B216" s="139"/>
      <c r="C216" s="140"/>
      <c r="D216" s="172"/>
      <c r="E216" s="172"/>
      <c r="F216" s="172"/>
      <c r="G216" s="63"/>
      <c r="H216" s="66"/>
      <c r="I216" s="185"/>
      <c r="J216" s="185"/>
      <c r="K216" s="186"/>
    </row>
    <row r="217" spans="2:11" x14ac:dyDescent="0.4">
      <c r="B217" s="139"/>
      <c r="C217" s="140"/>
      <c r="D217" s="172"/>
      <c r="E217" s="172"/>
      <c r="F217" s="172"/>
      <c r="G217" s="63"/>
      <c r="H217" s="66"/>
      <c r="I217" s="185"/>
      <c r="J217" s="185"/>
      <c r="K217" s="186"/>
    </row>
    <row r="218" spans="2:11" x14ac:dyDescent="0.4">
      <c r="B218" s="139"/>
      <c r="C218" s="140"/>
      <c r="D218" s="172"/>
      <c r="E218" s="172"/>
      <c r="F218" s="172"/>
      <c r="G218" s="63"/>
      <c r="H218" s="66"/>
      <c r="I218" s="185"/>
      <c r="J218" s="185"/>
      <c r="K218" s="186"/>
    </row>
    <row r="219" spans="2:11" x14ac:dyDescent="0.4">
      <c r="B219" s="139"/>
      <c r="C219" s="140"/>
      <c r="D219" s="172"/>
      <c r="E219" s="172"/>
      <c r="F219" s="172"/>
      <c r="G219" s="63"/>
      <c r="H219" s="66"/>
      <c r="I219" s="185"/>
      <c r="J219" s="185"/>
      <c r="K219" s="186"/>
    </row>
    <row r="220" spans="2:11" x14ac:dyDescent="0.4">
      <c r="B220" s="139"/>
      <c r="C220" s="140"/>
      <c r="D220" s="172"/>
      <c r="E220" s="172"/>
      <c r="F220" s="172"/>
      <c r="G220" s="63"/>
      <c r="H220" s="66"/>
      <c r="I220" s="185"/>
      <c r="J220" s="185"/>
      <c r="K220" s="186"/>
    </row>
    <row r="221" spans="2:11" x14ac:dyDescent="0.4">
      <c r="B221" s="139"/>
      <c r="C221" s="140"/>
      <c r="D221" s="172"/>
      <c r="E221" s="172"/>
      <c r="F221" s="172"/>
      <c r="G221" s="63"/>
      <c r="H221" s="66"/>
      <c r="I221" s="185"/>
      <c r="J221" s="185"/>
      <c r="K221" s="186"/>
    </row>
    <row r="222" spans="2:11" x14ac:dyDescent="0.4">
      <c r="B222" s="139"/>
      <c r="C222" s="140"/>
      <c r="D222" s="172"/>
      <c r="E222" s="172"/>
      <c r="F222" s="172"/>
      <c r="G222" s="63"/>
      <c r="H222" s="66"/>
      <c r="I222" s="185"/>
      <c r="J222" s="185"/>
      <c r="K222" s="186"/>
    </row>
    <row r="223" spans="2:11" x14ac:dyDescent="0.4">
      <c r="B223" s="139"/>
      <c r="C223" s="140"/>
      <c r="D223" s="172"/>
      <c r="E223" s="172"/>
      <c r="F223" s="172"/>
      <c r="G223" s="63"/>
      <c r="H223" s="66"/>
      <c r="I223" s="185"/>
      <c r="J223" s="185"/>
      <c r="K223" s="186"/>
    </row>
    <row r="224" spans="2:11" x14ac:dyDescent="0.4">
      <c r="B224" s="139"/>
      <c r="C224" s="140"/>
      <c r="D224" s="172"/>
      <c r="E224" s="172"/>
      <c r="F224" s="172"/>
      <c r="G224" s="63"/>
      <c r="H224" s="66"/>
      <c r="I224" s="185"/>
      <c r="J224" s="185"/>
      <c r="K224" s="186"/>
    </row>
    <row r="225" spans="2:11" x14ac:dyDescent="0.4">
      <c r="B225" s="139"/>
      <c r="C225" s="140"/>
      <c r="D225" s="172"/>
      <c r="E225" s="172"/>
      <c r="F225" s="172"/>
      <c r="G225" s="63"/>
      <c r="H225" s="66"/>
      <c r="I225" s="185"/>
      <c r="J225" s="185"/>
      <c r="K225" s="186"/>
    </row>
    <row r="226" spans="2:11" x14ac:dyDescent="0.4">
      <c r="B226" s="139"/>
      <c r="C226" s="140"/>
      <c r="D226" s="172"/>
      <c r="E226" s="172"/>
      <c r="F226" s="172"/>
      <c r="G226" s="63"/>
      <c r="H226" s="66"/>
      <c r="I226" s="185"/>
      <c r="J226" s="185"/>
      <c r="K226" s="186"/>
    </row>
    <row r="227" spans="2:11" x14ac:dyDescent="0.4">
      <c r="B227" s="139"/>
      <c r="C227" s="140"/>
      <c r="D227" s="172"/>
      <c r="E227" s="172"/>
      <c r="F227" s="172"/>
      <c r="G227" s="63"/>
      <c r="H227" s="66"/>
      <c r="I227" s="185"/>
      <c r="J227" s="185"/>
      <c r="K227" s="186"/>
    </row>
    <row r="228" spans="2:11" x14ac:dyDescent="0.4">
      <c r="B228" s="139"/>
      <c r="C228" s="140"/>
      <c r="D228" s="172"/>
      <c r="E228" s="172"/>
      <c r="F228" s="172"/>
      <c r="G228" s="63"/>
      <c r="H228" s="66"/>
      <c r="I228" s="185"/>
      <c r="J228" s="185"/>
      <c r="K228" s="186"/>
    </row>
    <row r="229" spans="2:11" x14ac:dyDescent="0.4">
      <c r="B229" s="139"/>
      <c r="C229" s="140"/>
      <c r="D229" s="172"/>
      <c r="E229" s="172"/>
      <c r="F229" s="172"/>
      <c r="G229" s="63"/>
      <c r="H229" s="66"/>
      <c r="I229" s="185"/>
      <c r="J229" s="185"/>
      <c r="K229" s="186"/>
    </row>
    <row r="230" spans="2:11" x14ac:dyDescent="0.4">
      <c r="B230" s="139"/>
      <c r="C230" s="140"/>
      <c r="D230" s="172"/>
      <c r="E230" s="172"/>
      <c r="F230" s="172"/>
      <c r="G230" s="63"/>
      <c r="H230" s="66"/>
      <c r="I230" s="185"/>
      <c r="J230" s="185"/>
      <c r="K230" s="186"/>
    </row>
    <row r="231" spans="2:11" x14ac:dyDescent="0.4">
      <c r="B231" s="139"/>
      <c r="C231" s="140"/>
      <c r="D231" s="172"/>
      <c r="E231" s="172"/>
      <c r="F231" s="172"/>
      <c r="G231" s="63"/>
      <c r="H231" s="66"/>
      <c r="I231" s="185"/>
      <c r="J231" s="185"/>
      <c r="K231" s="186"/>
    </row>
    <row r="232" spans="2:11" x14ac:dyDescent="0.4">
      <c r="B232" s="139"/>
      <c r="C232" s="140"/>
      <c r="D232" s="172"/>
      <c r="E232" s="172"/>
      <c r="F232" s="172"/>
      <c r="G232" s="63"/>
      <c r="H232" s="66"/>
      <c r="I232" s="185"/>
      <c r="J232" s="185"/>
      <c r="K232" s="186"/>
    </row>
    <row r="233" spans="2:11" x14ac:dyDescent="0.4">
      <c r="B233" s="139"/>
      <c r="C233" s="140"/>
      <c r="D233" s="172"/>
      <c r="E233" s="172"/>
      <c r="F233" s="172"/>
      <c r="G233" s="63"/>
      <c r="H233" s="66"/>
      <c r="I233" s="185"/>
      <c r="J233" s="185"/>
      <c r="K233" s="186"/>
    </row>
    <row r="234" spans="2:11" x14ac:dyDescent="0.4">
      <c r="B234" s="139"/>
      <c r="C234" s="140"/>
      <c r="D234" s="172"/>
      <c r="E234" s="172"/>
      <c r="F234" s="172"/>
      <c r="G234" s="63"/>
      <c r="H234" s="66"/>
      <c r="I234" s="185"/>
      <c r="J234" s="185"/>
      <c r="K234" s="186"/>
    </row>
    <row r="235" spans="2:11" x14ac:dyDescent="0.4">
      <c r="B235" s="139"/>
      <c r="C235" s="140"/>
      <c r="D235" s="172"/>
      <c r="E235" s="172"/>
      <c r="F235" s="172"/>
      <c r="G235" s="63"/>
      <c r="H235" s="66"/>
      <c r="I235" s="185"/>
      <c r="J235" s="185"/>
      <c r="K235" s="186"/>
    </row>
    <row r="236" spans="2:11" x14ac:dyDescent="0.4">
      <c r="B236" s="139"/>
      <c r="C236" s="140"/>
      <c r="D236" s="172"/>
      <c r="E236" s="172"/>
      <c r="F236" s="172"/>
      <c r="G236" s="63"/>
      <c r="H236" s="66"/>
      <c r="I236" s="185"/>
      <c r="J236" s="185"/>
      <c r="K236" s="186"/>
    </row>
    <row r="237" spans="2:11" x14ac:dyDescent="0.4">
      <c r="B237" s="139"/>
      <c r="C237" s="140"/>
      <c r="D237" s="172"/>
      <c r="E237" s="172"/>
      <c r="F237" s="172"/>
      <c r="G237" s="63"/>
      <c r="H237" s="66"/>
      <c r="I237" s="185"/>
      <c r="J237" s="185"/>
      <c r="K237" s="186"/>
    </row>
    <row r="238" spans="2:11" x14ac:dyDescent="0.4">
      <c r="B238" s="139"/>
      <c r="C238" s="140"/>
      <c r="D238" s="172"/>
      <c r="E238" s="172"/>
      <c r="F238" s="172"/>
      <c r="G238" s="63"/>
      <c r="H238" s="66"/>
      <c r="I238" s="185"/>
      <c r="J238" s="185"/>
      <c r="K238" s="186"/>
    </row>
    <row r="239" spans="2:11" x14ac:dyDescent="0.4">
      <c r="B239" s="139"/>
      <c r="C239" s="140"/>
      <c r="D239" s="172"/>
      <c r="E239" s="172"/>
      <c r="F239" s="172"/>
      <c r="G239" s="63"/>
      <c r="H239" s="66"/>
      <c r="I239" s="185"/>
      <c r="J239" s="185"/>
      <c r="K239" s="186"/>
    </row>
    <row r="240" spans="2:11" x14ac:dyDescent="0.4">
      <c r="B240" s="139"/>
      <c r="C240" s="140"/>
      <c r="D240" s="172"/>
      <c r="E240" s="172"/>
      <c r="F240" s="172"/>
      <c r="G240" s="63"/>
      <c r="H240" s="66"/>
      <c r="I240" s="185"/>
      <c r="J240" s="185"/>
      <c r="K240" s="186"/>
    </row>
    <row r="241" spans="2:11" x14ac:dyDescent="0.4">
      <c r="B241" s="139"/>
      <c r="C241" s="140"/>
      <c r="D241" s="172"/>
      <c r="E241" s="172"/>
      <c r="F241" s="172"/>
      <c r="G241" s="63"/>
      <c r="H241" s="66"/>
      <c r="I241" s="185"/>
      <c r="J241" s="185"/>
      <c r="K241" s="186"/>
    </row>
    <row r="242" spans="2:11" x14ac:dyDescent="0.4">
      <c r="B242" s="139"/>
      <c r="C242" s="140"/>
      <c r="D242" s="172"/>
      <c r="E242" s="172"/>
      <c r="F242" s="172"/>
      <c r="G242" s="63"/>
      <c r="H242" s="66"/>
      <c r="I242" s="185"/>
      <c r="J242" s="185"/>
      <c r="K242" s="186"/>
    </row>
    <row r="243" spans="2:11" x14ac:dyDescent="0.4">
      <c r="B243" s="139"/>
      <c r="C243" s="140"/>
      <c r="D243" s="172"/>
      <c r="E243" s="172"/>
      <c r="F243" s="172"/>
      <c r="G243" s="63"/>
      <c r="H243" s="66"/>
      <c r="I243" s="185"/>
      <c r="J243" s="185"/>
      <c r="K243" s="186"/>
    </row>
    <row r="244" spans="2:11" x14ac:dyDescent="0.4">
      <c r="B244" s="139"/>
      <c r="C244" s="140"/>
      <c r="D244" s="172"/>
      <c r="E244" s="172"/>
      <c r="F244" s="172"/>
      <c r="G244" s="63"/>
      <c r="H244" s="66"/>
      <c r="I244" s="185"/>
      <c r="J244" s="185"/>
      <c r="K244" s="186"/>
    </row>
    <row r="245" spans="2:11" x14ac:dyDescent="0.4">
      <c r="B245" s="139"/>
      <c r="C245" s="140"/>
      <c r="D245" s="172"/>
      <c r="E245" s="172"/>
      <c r="F245" s="172"/>
      <c r="G245" s="63"/>
      <c r="H245" s="66"/>
      <c r="I245" s="185"/>
      <c r="J245" s="185"/>
      <c r="K245" s="186"/>
    </row>
    <row r="246" spans="2:11" x14ac:dyDescent="0.4">
      <c r="B246" s="139"/>
      <c r="C246" s="140"/>
      <c r="D246" s="172"/>
      <c r="E246" s="172"/>
      <c r="F246" s="172"/>
      <c r="G246" s="63"/>
      <c r="H246" s="66"/>
      <c r="I246" s="185"/>
      <c r="J246" s="185"/>
      <c r="K246" s="186"/>
    </row>
    <row r="247" spans="2:11" x14ac:dyDescent="0.4">
      <c r="B247" s="139"/>
      <c r="C247" s="140"/>
      <c r="D247" s="172"/>
      <c r="E247" s="172"/>
      <c r="F247" s="172"/>
      <c r="G247" s="63"/>
      <c r="H247" s="66"/>
      <c r="I247" s="185"/>
      <c r="J247" s="185"/>
      <c r="K247" s="186"/>
    </row>
    <row r="248" spans="2:11" x14ac:dyDescent="0.4">
      <c r="B248" s="139"/>
      <c r="C248" s="140"/>
      <c r="D248" s="172"/>
      <c r="E248" s="172"/>
      <c r="F248" s="172"/>
      <c r="G248" s="63"/>
      <c r="H248" s="66"/>
      <c r="I248" s="185"/>
      <c r="J248" s="185"/>
      <c r="K248" s="186"/>
    </row>
    <row r="249" spans="2:11" x14ac:dyDescent="0.4">
      <c r="B249" s="139"/>
      <c r="C249" s="140"/>
      <c r="D249" s="172"/>
      <c r="E249" s="172"/>
      <c r="F249" s="172"/>
      <c r="G249" s="63"/>
      <c r="H249" s="66"/>
      <c r="I249" s="185"/>
      <c r="J249" s="185"/>
      <c r="K249" s="186"/>
    </row>
    <row r="250" spans="2:11" x14ac:dyDescent="0.4">
      <c r="B250" s="139"/>
      <c r="C250" s="140"/>
      <c r="D250" s="172"/>
      <c r="E250" s="172"/>
      <c r="F250" s="172"/>
      <c r="G250" s="63"/>
      <c r="H250" s="66"/>
      <c r="I250" s="185"/>
      <c r="J250" s="185"/>
      <c r="K250" s="186"/>
    </row>
    <row r="251" spans="2:11" x14ac:dyDescent="0.4">
      <c r="B251" s="139"/>
      <c r="C251" s="140"/>
      <c r="D251" s="172"/>
      <c r="E251" s="172"/>
      <c r="F251" s="172"/>
      <c r="G251" s="63"/>
      <c r="H251" s="66"/>
      <c r="I251" s="185"/>
      <c r="J251" s="185"/>
      <c r="K251" s="186"/>
    </row>
    <row r="252" spans="2:11" x14ac:dyDescent="0.4">
      <c r="B252" s="139"/>
      <c r="C252" s="140"/>
      <c r="D252" s="172"/>
      <c r="E252" s="172"/>
      <c r="F252" s="172"/>
      <c r="G252" s="63"/>
      <c r="H252" s="66"/>
      <c r="I252" s="185"/>
      <c r="J252" s="185"/>
      <c r="K252" s="186"/>
    </row>
    <row r="253" spans="2:11" x14ac:dyDescent="0.4">
      <c r="B253" s="139"/>
      <c r="C253" s="140"/>
      <c r="D253" s="172"/>
      <c r="E253" s="172"/>
      <c r="F253" s="172"/>
      <c r="G253" s="63"/>
      <c r="H253" s="66"/>
      <c r="I253" s="185"/>
      <c r="J253" s="185"/>
      <c r="K253" s="186"/>
    </row>
    <row r="254" spans="2:11" ht="15.5" customHeight="1" thickBot="1" x14ac:dyDescent="0.45">
      <c r="B254" s="141"/>
      <c r="C254" s="142"/>
      <c r="D254" s="191"/>
      <c r="E254" s="191"/>
      <c r="F254" s="191"/>
      <c r="G254" s="64"/>
      <c r="H254" s="67"/>
      <c r="I254" s="192"/>
      <c r="J254" s="192"/>
      <c r="K254" s="193"/>
    </row>
  </sheetData>
  <mergeCells count="761">
    <mergeCell ref="B5:C5"/>
    <mergeCell ref="D5:F5"/>
    <mergeCell ref="D2:F2"/>
    <mergeCell ref="G2:H2"/>
    <mergeCell ref="I2:K2"/>
    <mergeCell ref="B4:C4"/>
    <mergeCell ref="D4:F4"/>
    <mergeCell ref="I4:K4"/>
    <mergeCell ref="D3:F3"/>
    <mergeCell ref="I3:K3"/>
    <mergeCell ref="G3:H3"/>
    <mergeCell ref="B2:C2"/>
    <mergeCell ref="B3:C3"/>
    <mergeCell ref="I13:K13"/>
    <mergeCell ref="B14:C14"/>
    <mergeCell ref="D14:F14"/>
    <mergeCell ref="I14:K14"/>
    <mergeCell ref="B11:C11"/>
    <mergeCell ref="D6:F6"/>
    <mergeCell ref="I6:K6"/>
    <mergeCell ref="B12:C12"/>
    <mergeCell ref="D12:F12"/>
    <mergeCell ref="I12:K12"/>
    <mergeCell ref="B7:C7"/>
    <mergeCell ref="D7:F7"/>
    <mergeCell ref="I7:K7"/>
    <mergeCell ref="B8:C8"/>
    <mergeCell ref="D8:F8"/>
    <mergeCell ref="I8:K8"/>
    <mergeCell ref="D22:F22"/>
    <mergeCell ref="I22:K22"/>
    <mergeCell ref="B23:C23"/>
    <mergeCell ref="D23:F23"/>
    <mergeCell ref="I23:K23"/>
    <mergeCell ref="I5:K5"/>
    <mergeCell ref="B6:C6"/>
    <mergeCell ref="B9:C9"/>
    <mergeCell ref="D9:F9"/>
    <mergeCell ref="I9:K9"/>
    <mergeCell ref="B10:C10"/>
    <mergeCell ref="D10:F10"/>
    <mergeCell ref="I10:K10"/>
    <mergeCell ref="B19:C19"/>
    <mergeCell ref="D19:F19"/>
    <mergeCell ref="I19:K19"/>
    <mergeCell ref="B15:C15"/>
    <mergeCell ref="D15:F15"/>
    <mergeCell ref="I15:K15"/>
    <mergeCell ref="B16:C16"/>
    <mergeCell ref="D16:F16"/>
    <mergeCell ref="I16:K16"/>
    <mergeCell ref="B13:C13"/>
    <mergeCell ref="D13:F13"/>
    <mergeCell ref="B27:C27"/>
    <mergeCell ref="D27:F27"/>
    <mergeCell ref="I27:K27"/>
    <mergeCell ref="B28:C28"/>
    <mergeCell ref="D28:F28"/>
    <mergeCell ref="I28:K28"/>
    <mergeCell ref="D11:F11"/>
    <mergeCell ref="I11:K11"/>
    <mergeCell ref="B24:C24"/>
    <mergeCell ref="D24:F24"/>
    <mergeCell ref="I24:K24"/>
    <mergeCell ref="B20:C20"/>
    <mergeCell ref="D20:F20"/>
    <mergeCell ref="I20:K20"/>
    <mergeCell ref="B17:C17"/>
    <mergeCell ref="D17:F17"/>
    <mergeCell ref="I17:K17"/>
    <mergeCell ref="B18:C18"/>
    <mergeCell ref="D18:F18"/>
    <mergeCell ref="I18:K18"/>
    <mergeCell ref="B21:C21"/>
    <mergeCell ref="D21:F21"/>
    <mergeCell ref="I21:K21"/>
    <mergeCell ref="B22:C22"/>
    <mergeCell ref="B33:C33"/>
    <mergeCell ref="D33:F33"/>
    <mergeCell ref="I33:K33"/>
    <mergeCell ref="B34:C34"/>
    <mergeCell ref="D34:F34"/>
    <mergeCell ref="I34:K34"/>
    <mergeCell ref="B25:C25"/>
    <mergeCell ref="D25:F25"/>
    <mergeCell ref="I25:K25"/>
    <mergeCell ref="B26:C26"/>
    <mergeCell ref="D26:F26"/>
    <mergeCell ref="I26:K26"/>
    <mergeCell ref="B32:C32"/>
    <mergeCell ref="D32:F32"/>
    <mergeCell ref="I32:K32"/>
    <mergeCell ref="B29:C29"/>
    <mergeCell ref="D29:F29"/>
    <mergeCell ref="I29:K29"/>
    <mergeCell ref="B30:C30"/>
    <mergeCell ref="D30:F30"/>
    <mergeCell ref="I30:K30"/>
    <mergeCell ref="B31:C31"/>
    <mergeCell ref="D31:F31"/>
    <mergeCell ref="I31:K31"/>
    <mergeCell ref="B35:C35"/>
    <mergeCell ref="D35:F35"/>
    <mergeCell ref="I35:K35"/>
    <mergeCell ref="B43:C43"/>
    <mergeCell ref="D43:F43"/>
    <mergeCell ref="I43:K43"/>
    <mergeCell ref="B39:C39"/>
    <mergeCell ref="D39:F39"/>
    <mergeCell ref="I39:K39"/>
    <mergeCell ref="B40:C40"/>
    <mergeCell ref="D40:F40"/>
    <mergeCell ref="I40:K40"/>
    <mergeCell ref="B36:C36"/>
    <mergeCell ref="D36:F36"/>
    <mergeCell ref="I36:K36"/>
    <mergeCell ref="B45:C45"/>
    <mergeCell ref="D45:F45"/>
    <mergeCell ref="I45:K45"/>
    <mergeCell ref="B46:C46"/>
    <mergeCell ref="D46:F46"/>
    <mergeCell ref="I46:K46"/>
    <mergeCell ref="B37:C37"/>
    <mergeCell ref="D37:F37"/>
    <mergeCell ref="I37:K37"/>
    <mergeCell ref="B38:C38"/>
    <mergeCell ref="D38:F38"/>
    <mergeCell ref="I38:K38"/>
    <mergeCell ref="B44:C44"/>
    <mergeCell ref="D44:F44"/>
    <mergeCell ref="I44:K44"/>
    <mergeCell ref="B41:C41"/>
    <mergeCell ref="D41:F41"/>
    <mergeCell ref="I41:K41"/>
    <mergeCell ref="B42:C42"/>
    <mergeCell ref="D42:F42"/>
    <mergeCell ref="I42:K42"/>
    <mergeCell ref="B47:C47"/>
    <mergeCell ref="D47:F47"/>
    <mergeCell ref="I47:K47"/>
    <mergeCell ref="B55:C55"/>
    <mergeCell ref="D55:F55"/>
    <mergeCell ref="I55:K55"/>
    <mergeCell ref="B51:C51"/>
    <mergeCell ref="D51:F51"/>
    <mergeCell ref="I51:K51"/>
    <mergeCell ref="B52:C52"/>
    <mergeCell ref="D52:F52"/>
    <mergeCell ref="I52:K52"/>
    <mergeCell ref="B48:C48"/>
    <mergeCell ref="D48:F48"/>
    <mergeCell ref="I48:K48"/>
    <mergeCell ref="B57:C57"/>
    <mergeCell ref="D57:F57"/>
    <mergeCell ref="I57:K57"/>
    <mergeCell ref="B58:C58"/>
    <mergeCell ref="D58:F58"/>
    <mergeCell ref="I58:K58"/>
    <mergeCell ref="B49:C49"/>
    <mergeCell ref="D49:F49"/>
    <mergeCell ref="I49:K49"/>
    <mergeCell ref="B50:C50"/>
    <mergeCell ref="D50:F50"/>
    <mergeCell ref="I50:K50"/>
    <mergeCell ref="B56:C56"/>
    <mergeCell ref="D56:F56"/>
    <mergeCell ref="I56:K56"/>
    <mergeCell ref="B53:C53"/>
    <mergeCell ref="D53:F53"/>
    <mergeCell ref="I53:K53"/>
    <mergeCell ref="B54:C54"/>
    <mergeCell ref="D54:F54"/>
    <mergeCell ref="I54:K54"/>
    <mergeCell ref="B59:C59"/>
    <mergeCell ref="D59:F59"/>
    <mergeCell ref="I59:K59"/>
    <mergeCell ref="B67:C67"/>
    <mergeCell ref="D67:F67"/>
    <mergeCell ref="I67:K67"/>
    <mergeCell ref="B63:C63"/>
    <mergeCell ref="D63:F63"/>
    <mergeCell ref="I63:K63"/>
    <mergeCell ref="B64:C64"/>
    <mergeCell ref="D64:F64"/>
    <mergeCell ref="I64:K64"/>
    <mergeCell ref="B60:C60"/>
    <mergeCell ref="D60:F60"/>
    <mergeCell ref="I60:K60"/>
    <mergeCell ref="B69:C69"/>
    <mergeCell ref="D69:F69"/>
    <mergeCell ref="I69:K69"/>
    <mergeCell ref="B70:C70"/>
    <mergeCell ref="D70:F70"/>
    <mergeCell ref="I70:K70"/>
    <mergeCell ref="B61:C61"/>
    <mergeCell ref="D61:F61"/>
    <mergeCell ref="I61:K61"/>
    <mergeCell ref="B62:C62"/>
    <mergeCell ref="D62:F62"/>
    <mergeCell ref="I62:K62"/>
    <mergeCell ref="B68:C68"/>
    <mergeCell ref="D68:F68"/>
    <mergeCell ref="I68:K68"/>
    <mergeCell ref="B65:C65"/>
    <mergeCell ref="D65:F65"/>
    <mergeCell ref="I65:K65"/>
    <mergeCell ref="B66:C66"/>
    <mergeCell ref="D66:F66"/>
    <mergeCell ref="I66:K66"/>
    <mergeCell ref="B71:C71"/>
    <mergeCell ref="D71:F71"/>
    <mergeCell ref="I71:K71"/>
    <mergeCell ref="B79:C79"/>
    <mergeCell ref="D79:F79"/>
    <mergeCell ref="I79:K79"/>
    <mergeCell ref="B75:C75"/>
    <mergeCell ref="D75:F75"/>
    <mergeCell ref="I75:K75"/>
    <mergeCell ref="B76:C76"/>
    <mergeCell ref="D76:F76"/>
    <mergeCell ref="I76:K76"/>
    <mergeCell ref="B72:C72"/>
    <mergeCell ref="D72:F72"/>
    <mergeCell ref="I72:K72"/>
    <mergeCell ref="B81:C81"/>
    <mergeCell ref="D81:F81"/>
    <mergeCell ref="I81:K81"/>
    <mergeCell ref="B82:C82"/>
    <mergeCell ref="D82:F82"/>
    <mergeCell ref="I82:K82"/>
    <mergeCell ref="B73:C73"/>
    <mergeCell ref="D73:F73"/>
    <mergeCell ref="I73:K73"/>
    <mergeCell ref="B74:C74"/>
    <mergeCell ref="D74:F74"/>
    <mergeCell ref="I74:K74"/>
    <mergeCell ref="B80:C80"/>
    <mergeCell ref="D80:F80"/>
    <mergeCell ref="I80:K80"/>
    <mergeCell ref="B77:C77"/>
    <mergeCell ref="D77:F77"/>
    <mergeCell ref="I77:K77"/>
    <mergeCell ref="B78:C78"/>
    <mergeCell ref="D78:F78"/>
    <mergeCell ref="I78:K78"/>
    <mergeCell ref="B83:C83"/>
    <mergeCell ref="D83:F83"/>
    <mergeCell ref="I83:K83"/>
    <mergeCell ref="B91:C91"/>
    <mergeCell ref="D91:F91"/>
    <mergeCell ref="I91:K91"/>
    <mergeCell ref="B87:C87"/>
    <mergeCell ref="D87:F87"/>
    <mergeCell ref="I87:K87"/>
    <mergeCell ref="B88:C88"/>
    <mergeCell ref="D88:F88"/>
    <mergeCell ref="I88:K88"/>
    <mergeCell ref="B84:C84"/>
    <mergeCell ref="D84:F84"/>
    <mergeCell ref="I84:K84"/>
    <mergeCell ref="B93:C93"/>
    <mergeCell ref="D93:F93"/>
    <mergeCell ref="I93:K93"/>
    <mergeCell ref="B94:C94"/>
    <mergeCell ref="D94:F94"/>
    <mergeCell ref="I94:K94"/>
    <mergeCell ref="B85:C85"/>
    <mergeCell ref="D85:F85"/>
    <mergeCell ref="I85:K85"/>
    <mergeCell ref="B86:C86"/>
    <mergeCell ref="D86:F86"/>
    <mergeCell ref="I86:K86"/>
    <mergeCell ref="B92:C92"/>
    <mergeCell ref="D92:F92"/>
    <mergeCell ref="I92:K92"/>
    <mergeCell ref="B89:C89"/>
    <mergeCell ref="D89:F89"/>
    <mergeCell ref="I89:K89"/>
    <mergeCell ref="B90:C90"/>
    <mergeCell ref="D90:F90"/>
    <mergeCell ref="I90:K90"/>
    <mergeCell ref="B95:C95"/>
    <mergeCell ref="D95:F95"/>
    <mergeCell ref="I95:K95"/>
    <mergeCell ref="B103:C103"/>
    <mergeCell ref="D103:F103"/>
    <mergeCell ref="I103:K103"/>
    <mergeCell ref="B99:C99"/>
    <mergeCell ref="D99:F99"/>
    <mergeCell ref="I99:K99"/>
    <mergeCell ref="B100:C100"/>
    <mergeCell ref="D100:F100"/>
    <mergeCell ref="I100:K100"/>
    <mergeCell ref="B96:C96"/>
    <mergeCell ref="D96:F96"/>
    <mergeCell ref="I96:K96"/>
    <mergeCell ref="B105:C105"/>
    <mergeCell ref="D105:F105"/>
    <mergeCell ref="I105:K105"/>
    <mergeCell ref="B106:C106"/>
    <mergeCell ref="D106:F106"/>
    <mergeCell ref="I106:K106"/>
    <mergeCell ref="B97:C97"/>
    <mergeCell ref="D97:F97"/>
    <mergeCell ref="I97:K97"/>
    <mergeCell ref="B98:C98"/>
    <mergeCell ref="D98:F98"/>
    <mergeCell ref="I98:K98"/>
    <mergeCell ref="B104:C104"/>
    <mergeCell ref="D104:F104"/>
    <mergeCell ref="I104:K104"/>
    <mergeCell ref="B101:C101"/>
    <mergeCell ref="D101:F101"/>
    <mergeCell ref="I101:K101"/>
    <mergeCell ref="B102:C102"/>
    <mergeCell ref="D102:F102"/>
    <mergeCell ref="I102:K102"/>
    <mergeCell ref="B107:C107"/>
    <mergeCell ref="D107:F107"/>
    <mergeCell ref="I107:K107"/>
    <mergeCell ref="B115:C115"/>
    <mergeCell ref="D115:F115"/>
    <mergeCell ref="I115:K115"/>
    <mergeCell ref="B111:C111"/>
    <mergeCell ref="D111:F111"/>
    <mergeCell ref="I111:K111"/>
    <mergeCell ref="B112:C112"/>
    <mergeCell ref="D112:F112"/>
    <mergeCell ref="I112:K112"/>
    <mergeCell ref="B108:C108"/>
    <mergeCell ref="D108:F108"/>
    <mergeCell ref="I108:K108"/>
    <mergeCell ref="B117:C117"/>
    <mergeCell ref="D117:F117"/>
    <mergeCell ref="I117:K117"/>
    <mergeCell ref="B118:C118"/>
    <mergeCell ref="D118:F118"/>
    <mergeCell ref="I118:K118"/>
    <mergeCell ref="B109:C109"/>
    <mergeCell ref="D109:F109"/>
    <mergeCell ref="I109:K109"/>
    <mergeCell ref="B110:C110"/>
    <mergeCell ref="D110:F110"/>
    <mergeCell ref="I110:K110"/>
    <mergeCell ref="B116:C116"/>
    <mergeCell ref="D116:F116"/>
    <mergeCell ref="I116:K116"/>
    <mergeCell ref="B113:C113"/>
    <mergeCell ref="D113:F113"/>
    <mergeCell ref="I113:K113"/>
    <mergeCell ref="B114:C114"/>
    <mergeCell ref="D114:F114"/>
    <mergeCell ref="I114:K114"/>
    <mergeCell ref="B119:C119"/>
    <mergeCell ref="D119:F119"/>
    <mergeCell ref="I119:K119"/>
    <mergeCell ref="B127:C127"/>
    <mergeCell ref="D127:F127"/>
    <mergeCell ref="I127:K127"/>
    <mergeCell ref="B123:C123"/>
    <mergeCell ref="D123:F123"/>
    <mergeCell ref="I123:K123"/>
    <mergeCell ref="B124:C124"/>
    <mergeCell ref="D124:F124"/>
    <mergeCell ref="I124:K124"/>
    <mergeCell ref="B120:C120"/>
    <mergeCell ref="D120:F120"/>
    <mergeCell ref="I120:K120"/>
    <mergeCell ref="B129:C129"/>
    <mergeCell ref="D129:F129"/>
    <mergeCell ref="I129:K129"/>
    <mergeCell ref="B130:C130"/>
    <mergeCell ref="D130:F130"/>
    <mergeCell ref="I130:K130"/>
    <mergeCell ref="B121:C121"/>
    <mergeCell ref="D121:F121"/>
    <mergeCell ref="I121:K121"/>
    <mergeCell ref="B122:C122"/>
    <mergeCell ref="D122:F122"/>
    <mergeCell ref="I122:K122"/>
    <mergeCell ref="B128:C128"/>
    <mergeCell ref="D128:F128"/>
    <mergeCell ref="I128:K128"/>
    <mergeCell ref="B125:C125"/>
    <mergeCell ref="D125:F125"/>
    <mergeCell ref="I125:K125"/>
    <mergeCell ref="B126:C126"/>
    <mergeCell ref="D126:F126"/>
    <mergeCell ref="I126:K126"/>
    <mergeCell ref="B131:C131"/>
    <mergeCell ref="D131:F131"/>
    <mergeCell ref="I131:K131"/>
    <mergeCell ref="B139:C139"/>
    <mergeCell ref="D139:F139"/>
    <mergeCell ref="I139:K139"/>
    <mergeCell ref="B135:C135"/>
    <mergeCell ref="D135:F135"/>
    <mergeCell ref="I135:K135"/>
    <mergeCell ref="B136:C136"/>
    <mergeCell ref="D136:F136"/>
    <mergeCell ref="I136:K136"/>
    <mergeCell ref="B132:C132"/>
    <mergeCell ref="D132:F132"/>
    <mergeCell ref="I132:K132"/>
    <mergeCell ref="B141:C141"/>
    <mergeCell ref="D141:F141"/>
    <mergeCell ref="I141:K141"/>
    <mergeCell ref="B142:C142"/>
    <mergeCell ref="D142:F142"/>
    <mergeCell ref="I142:K142"/>
    <mergeCell ref="B133:C133"/>
    <mergeCell ref="D133:F133"/>
    <mergeCell ref="I133:K133"/>
    <mergeCell ref="B134:C134"/>
    <mergeCell ref="D134:F134"/>
    <mergeCell ref="I134:K134"/>
    <mergeCell ref="B140:C140"/>
    <mergeCell ref="D140:F140"/>
    <mergeCell ref="I140:K140"/>
    <mergeCell ref="B137:C137"/>
    <mergeCell ref="D137:F137"/>
    <mergeCell ref="I137:K137"/>
    <mergeCell ref="B138:C138"/>
    <mergeCell ref="D138:F138"/>
    <mergeCell ref="I138:K138"/>
    <mergeCell ref="B143:C143"/>
    <mergeCell ref="D143:F143"/>
    <mergeCell ref="I143:K143"/>
    <mergeCell ref="B151:C151"/>
    <mergeCell ref="D151:F151"/>
    <mergeCell ref="I151:K151"/>
    <mergeCell ref="B147:C147"/>
    <mergeCell ref="D147:F147"/>
    <mergeCell ref="I147:K147"/>
    <mergeCell ref="B148:C148"/>
    <mergeCell ref="D148:F148"/>
    <mergeCell ref="I148:K148"/>
    <mergeCell ref="B144:C144"/>
    <mergeCell ref="D144:F144"/>
    <mergeCell ref="I144:K144"/>
    <mergeCell ref="B153:C153"/>
    <mergeCell ref="D153:F153"/>
    <mergeCell ref="I153:K153"/>
    <mergeCell ref="B154:C154"/>
    <mergeCell ref="D154:F154"/>
    <mergeCell ref="I154:K154"/>
    <mergeCell ref="B145:C145"/>
    <mergeCell ref="D145:F145"/>
    <mergeCell ref="I145:K145"/>
    <mergeCell ref="B146:C146"/>
    <mergeCell ref="D146:F146"/>
    <mergeCell ref="I146:K146"/>
    <mergeCell ref="B152:C152"/>
    <mergeCell ref="D152:F152"/>
    <mergeCell ref="I152:K152"/>
    <mergeCell ref="B149:C149"/>
    <mergeCell ref="D149:F149"/>
    <mergeCell ref="I149:K149"/>
    <mergeCell ref="B150:C150"/>
    <mergeCell ref="D150:F150"/>
    <mergeCell ref="I150:K150"/>
    <mergeCell ref="B155:C155"/>
    <mergeCell ref="D155:F155"/>
    <mergeCell ref="I155:K155"/>
    <mergeCell ref="B163:C163"/>
    <mergeCell ref="D163:F163"/>
    <mergeCell ref="I163:K163"/>
    <mergeCell ref="B159:C159"/>
    <mergeCell ref="D159:F159"/>
    <mergeCell ref="I159:K159"/>
    <mergeCell ref="B160:C160"/>
    <mergeCell ref="D160:F160"/>
    <mergeCell ref="I160:K160"/>
    <mergeCell ref="B156:C156"/>
    <mergeCell ref="D156:F156"/>
    <mergeCell ref="I156:K156"/>
    <mergeCell ref="B165:C165"/>
    <mergeCell ref="D165:F165"/>
    <mergeCell ref="I165:K165"/>
    <mergeCell ref="B166:C166"/>
    <mergeCell ref="D166:F166"/>
    <mergeCell ref="I166:K166"/>
    <mergeCell ref="B157:C157"/>
    <mergeCell ref="D157:F157"/>
    <mergeCell ref="I157:K157"/>
    <mergeCell ref="B158:C158"/>
    <mergeCell ref="D158:F158"/>
    <mergeCell ref="I158:K158"/>
    <mergeCell ref="B164:C164"/>
    <mergeCell ref="D164:F164"/>
    <mergeCell ref="I164:K164"/>
    <mergeCell ref="B161:C161"/>
    <mergeCell ref="D161:F161"/>
    <mergeCell ref="I161:K161"/>
    <mergeCell ref="B162:C162"/>
    <mergeCell ref="D162:F162"/>
    <mergeCell ref="I162:K162"/>
    <mergeCell ref="B167:C167"/>
    <mergeCell ref="D167:F167"/>
    <mergeCell ref="I167:K167"/>
    <mergeCell ref="B175:C175"/>
    <mergeCell ref="D175:F175"/>
    <mergeCell ref="I175:K175"/>
    <mergeCell ref="B171:C171"/>
    <mergeCell ref="D171:F171"/>
    <mergeCell ref="I171:K171"/>
    <mergeCell ref="B172:C172"/>
    <mergeCell ref="D172:F172"/>
    <mergeCell ref="I172:K172"/>
    <mergeCell ref="B168:C168"/>
    <mergeCell ref="D168:F168"/>
    <mergeCell ref="I168:K168"/>
    <mergeCell ref="B177:C177"/>
    <mergeCell ref="D177:F177"/>
    <mergeCell ref="I177:K177"/>
    <mergeCell ref="B178:C178"/>
    <mergeCell ref="D178:F178"/>
    <mergeCell ref="I178:K178"/>
    <mergeCell ref="B169:C169"/>
    <mergeCell ref="D169:F169"/>
    <mergeCell ref="I169:K169"/>
    <mergeCell ref="B170:C170"/>
    <mergeCell ref="D170:F170"/>
    <mergeCell ref="I170:K170"/>
    <mergeCell ref="B176:C176"/>
    <mergeCell ref="D176:F176"/>
    <mergeCell ref="I176:K176"/>
    <mergeCell ref="B173:C173"/>
    <mergeCell ref="D173:F173"/>
    <mergeCell ref="I173:K173"/>
    <mergeCell ref="B174:C174"/>
    <mergeCell ref="D174:F174"/>
    <mergeCell ref="I174:K174"/>
    <mergeCell ref="B179:C179"/>
    <mergeCell ref="D179:F179"/>
    <mergeCell ref="I179:K179"/>
    <mergeCell ref="B187:C187"/>
    <mergeCell ref="D187:F187"/>
    <mergeCell ref="I187:K187"/>
    <mergeCell ref="B183:C183"/>
    <mergeCell ref="D183:F183"/>
    <mergeCell ref="I183:K183"/>
    <mergeCell ref="B184:C184"/>
    <mergeCell ref="D184:F184"/>
    <mergeCell ref="I184:K184"/>
    <mergeCell ref="B180:C180"/>
    <mergeCell ref="D180:F180"/>
    <mergeCell ref="I180:K180"/>
    <mergeCell ref="B189:C189"/>
    <mergeCell ref="D189:F189"/>
    <mergeCell ref="I189:K189"/>
    <mergeCell ref="B190:C190"/>
    <mergeCell ref="D190:F190"/>
    <mergeCell ref="I190:K190"/>
    <mergeCell ref="B181:C181"/>
    <mergeCell ref="D181:F181"/>
    <mergeCell ref="I181:K181"/>
    <mergeCell ref="B182:C182"/>
    <mergeCell ref="D182:F182"/>
    <mergeCell ref="I182:K182"/>
    <mergeCell ref="B188:C188"/>
    <mergeCell ref="D188:F188"/>
    <mergeCell ref="I188:K188"/>
    <mergeCell ref="B185:C185"/>
    <mergeCell ref="D185:F185"/>
    <mergeCell ref="I185:K185"/>
    <mergeCell ref="B186:C186"/>
    <mergeCell ref="D186:F186"/>
    <mergeCell ref="I186:K186"/>
    <mergeCell ref="B191:C191"/>
    <mergeCell ref="D191:F191"/>
    <mergeCell ref="I191:K191"/>
    <mergeCell ref="B199:C199"/>
    <mergeCell ref="D199:F199"/>
    <mergeCell ref="I199:K199"/>
    <mergeCell ref="B195:C195"/>
    <mergeCell ref="D195:F195"/>
    <mergeCell ref="I195:K195"/>
    <mergeCell ref="B196:C196"/>
    <mergeCell ref="D196:F196"/>
    <mergeCell ref="I196:K196"/>
    <mergeCell ref="B192:C192"/>
    <mergeCell ref="D192:F192"/>
    <mergeCell ref="I192:K192"/>
    <mergeCell ref="B201:C201"/>
    <mergeCell ref="D201:F201"/>
    <mergeCell ref="I201:K201"/>
    <mergeCell ref="B202:C202"/>
    <mergeCell ref="D202:F202"/>
    <mergeCell ref="I202:K202"/>
    <mergeCell ref="B193:C193"/>
    <mergeCell ref="D193:F193"/>
    <mergeCell ref="I193:K193"/>
    <mergeCell ref="B194:C194"/>
    <mergeCell ref="D194:F194"/>
    <mergeCell ref="I194:K194"/>
    <mergeCell ref="B200:C200"/>
    <mergeCell ref="D200:F200"/>
    <mergeCell ref="I200:K200"/>
    <mergeCell ref="B197:C197"/>
    <mergeCell ref="D197:F197"/>
    <mergeCell ref="I197:K197"/>
    <mergeCell ref="B198:C198"/>
    <mergeCell ref="D198:F198"/>
    <mergeCell ref="I198:K198"/>
    <mergeCell ref="B203:C203"/>
    <mergeCell ref="D203:F203"/>
    <mergeCell ref="I203:K203"/>
    <mergeCell ref="B211:C211"/>
    <mergeCell ref="D211:F211"/>
    <mergeCell ref="I211:K211"/>
    <mergeCell ref="B207:C207"/>
    <mergeCell ref="D207:F207"/>
    <mergeCell ref="I207:K207"/>
    <mergeCell ref="B208:C208"/>
    <mergeCell ref="D208:F208"/>
    <mergeCell ref="I208:K208"/>
    <mergeCell ref="B204:C204"/>
    <mergeCell ref="D204:F204"/>
    <mergeCell ref="I204:K204"/>
    <mergeCell ref="B205:C205"/>
    <mergeCell ref="D205:F205"/>
    <mergeCell ref="I205:K205"/>
    <mergeCell ref="B206:C206"/>
    <mergeCell ref="D206:F206"/>
    <mergeCell ref="I206:K206"/>
    <mergeCell ref="B212:C212"/>
    <mergeCell ref="D212:F212"/>
    <mergeCell ref="I212:K212"/>
    <mergeCell ref="B209:C209"/>
    <mergeCell ref="D209:F209"/>
    <mergeCell ref="I209:K209"/>
    <mergeCell ref="B210:C210"/>
    <mergeCell ref="D210:F210"/>
    <mergeCell ref="I210:K210"/>
    <mergeCell ref="B213:C213"/>
    <mergeCell ref="D213:F213"/>
    <mergeCell ref="I213:K213"/>
    <mergeCell ref="B214:C214"/>
    <mergeCell ref="D214:F214"/>
    <mergeCell ref="I214:K214"/>
    <mergeCell ref="B215:C215"/>
    <mergeCell ref="D215:F215"/>
    <mergeCell ref="I215:K215"/>
    <mergeCell ref="B224:C224"/>
    <mergeCell ref="D224:F224"/>
    <mergeCell ref="I224:K224"/>
    <mergeCell ref="B221:C221"/>
    <mergeCell ref="D221:F221"/>
    <mergeCell ref="I221:K221"/>
    <mergeCell ref="B222:C222"/>
    <mergeCell ref="D222:F222"/>
    <mergeCell ref="I222:K222"/>
    <mergeCell ref="B223:C223"/>
    <mergeCell ref="D223:F223"/>
    <mergeCell ref="I223:K223"/>
    <mergeCell ref="B219:C219"/>
    <mergeCell ref="D219:F219"/>
    <mergeCell ref="I219:K219"/>
    <mergeCell ref="B220:C220"/>
    <mergeCell ref="D220:F220"/>
    <mergeCell ref="I220:K220"/>
    <mergeCell ref="B216:C216"/>
    <mergeCell ref="D216:F216"/>
    <mergeCell ref="I216:K216"/>
    <mergeCell ref="B217:C217"/>
    <mergeCell ref="D217:F217"/>
    <mergeCell ref="I217:K217"/>
    <mergeCell ref="B218:C218"/>
    <mergeCell ref="D218:F218"/>
    <mergeCell ref="I218:K218"/>
    <mergeCell ref="B235:C235"/>
    <mergeCell ref="D235:F235"/>
    <mergeCell ref="I235:K235"/>
    <mergeCell ref="B231:C231"/>
    <mergeCell ref="D231:F231"/>
    <mergeCell ref="I231:K231"/>
    <mergeCell ref="B232:C232"/>
    <mergeCell ref="D232:F232"/>
    <mergeCell ref="I232:K232"/>
    <mergeCell ref="B233:C233"/>
    <mergeCell ref="D233:F233"/>
    <mergeCell ref="I233:K233"/>
    <mergeCell ref="B234:C234"/>
    <mergeCell ref="D234:F234"/>
    <mergeCell ref="I234:K234"/>
    <mergeCell ref="B225:C225"/>
    <mergeCell ref="D225:F225"/>
    <mergeCell ref="I225:K225"/>
    <mergeCell ref="B226:C226"/>
    <mergeCell ref="D226:F226"/>
    <mergeCell ref="I226:K226"/>
    <mergeCell ref="B229:C229"/>
    <mergeCell ref="D229:F229"/>
    <mergeCell ref="I229:K229"/>
    <mergeCell ref="B230:C230"/>
    <mergeCell ref="D230:F230"/>
    <mergeCell ref="I230:K230"/>
    <mergeCell ref="B227:C227"/>
    <mergeCell ref="D227:F227"/>
    <mergeCell ref="I227:K227"/>
    <mergeCell ref="B228:C228"/>
    <mergeCell ref="D228:F228"/>
    <mergeCell ref="I228:K228"/>
    <mergeCell ref="I242:K242"/>
    <mergeCell ref="B239:C239"/>
    <mergeCell ref="D239:F239"/>
    <mergeCell ref="I239:K239"/>
    <mergeCell ref="B240:C240"/>
    <mergeCell ref="D240:F240"/>
    <mergeCell ref="I240:K240"/>
    <mergeCell ref="B236:C236"/>
    <mergeCell ref="D236:F236"/>
    <mergeCell ref="I236:K236"/>
    <mergeCell ref="B237:C237"/>
    <mergeCell ref="D237:F237"/>
    <mergeCell ref="I237:K237"/>
    <mergeCell ref="B238:C238"/>
    <mergeCell ref="D238:F238"/>
    <mergeCell ref="I238:K238"/>
    <mergeCell ref="B241:C241"/>
    <mergeCell ref="D241:F241"/>
    <mergeCell ref="I241:K241"/>
    <mergeCell ref="B242:C242"/>
    <mergeCell ref="D242:F242"/>
    <mergeCell ref="B245:C245"/>
    <mergeCell ref="D245:F245"/>
    <mergeCell ref="I245:K245"/>
    <mergeCell ref="B246:C246"/>
    <mergeCell ref="D246:F246"/>
    <mergeCell ref="I246:K246"/>
    <mergeCell ref="B243:C243"/>
    <mergeCell ref="D243:F243"/>
    <mergeCell ref="I243:K243"/>
    <mergeCell ref="B244:C244"/>
    <mergeCell ref="D244:F244"/>
    <mergeCell ref="I244:K244"/>
    <mergeCell ref="B253:C253"/>
    <mergeCell ref="D253:F253"/>
    <mergeCell ref="I253:K253"/>
    <mergeCell ref="B254:C254"/>
    <mergeCell ref="D254:F254"/>
    <mergeCell ref="I254:K254"/>
    <mergeCell ref="B251:C251"/>
    <mergeCell ref="D251:F251"/>
    <mergeCell ref="I251:K251"/>
    <mergeCell ref="B252:C252"/>
    <mergeCell ref="D252:F252"/>
    <mergeCell ref="I252:K252"/>
    <mergeCell ref="B249:C249"/>
    <mergeCell ref="D249:F249"/>
    <mergeCell ref="I249:K249"/>
    <mergeCell ref="B250:C250"/>
    <mergeCell ref="D250:F250"/>
    <mergeCell ref="I250:K250"/>
    <mergeCell ref="B247:C247"/>
    <mergeCell ref="D247:F247"/>
    <mergeCell ref="I247:K247"/>
    <mergeCell ref="B248:C248"/>
    <mergeCell ref="D248:F248"/>
    <mergeCell ref="I248:K248"/>
  </mergeCells>
  <conditionalFormatting sqref="B5:K254">
    <cfRule type="expression" dxfId="9" priority="1">
      <formula>$H5:$H254="Interest"</formula>
    </cfRule>
    <cfRule type="expression" dxfId="8" priority="2">
      <formula>$H5:$H254="Transfer"</formula>
    </cfRule>
    <cfRule type="expression" dxfId="7" priority="6">
      <formula>$I5:$K254="Return"</formula>
    </cfRule>
    <cfRule type="expression" dxfId="6" priority="7">
      <formula>$H5:$H254="Hold"</formula>
    </cfRule>
    <cfRule type="expression" dxfId="5" priority="8">
      <formula>$H5:$H254="Load"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CC3B-A21B-4466-82E2-78BA46D5E397}">
  <dimension ref="B1:K254"/>
  <sheetViews>
    <sheetView zoomScale="175" zoomScaleNormal="175" workbookViewId="0">
      <pane xSplit="11" ySplit="4" topLeftCell="L5" activePane="bottomRight" state="frozen"/>
      <selection pane="topRight" activeCell="M1" sqref="M1"/>
      <selection pane="bottomLeft" activeCell="A11" sqref="A11"/>
      <selection pane="bottomRight" activeCell="B3" sqref="B3:C3"/>
    </sheetView>
  </sheetViews>
  <sheetFormatPr defaultRowHeight="13" x14ac:dyDescent="0.35"/>
  <cols>
    <col min="1" max="1" width="8.7265625" style="40"/>
    <col min="2" max="3" width="8.7265625" style="40" customWidth="1"/>
    <col min="4" max="4" width="8.7265625" style="40"/>
    <col min="5" max="5" width="1.81640625" style="40" customWidth="1"/>
    <col min="6" max="6" width="8.7265625" style="40"/>
    <col min="7" max="8" width="9.81640625" style="40" customWidth="1"/>
    <col min="9" max="11" width="8.7265625" style="40"/>
    <col min="12" max="12" width="1.81640625" style="40" customWidth="1"/>
    <col min="13" max="16384" width="8.7265625" style="40"/>
  </cols>
  <sheetData>
    <row r="1" spans="2:11" ht="10" customHeight="1" thickBot="1" x14ac:dyDescent="0.4"/>
    <row r="2" spans="2:11" ht="15.5" customHeight="1" thickBot="1" x14ac:dyDescent="0.4">
      <c r="B2" s="198"/>
      <c r="C2" s="199"/>
      <c r="D2" s="200" cm="1">
        <f t="array" ref="D2">SUMPRODUCT(CIMB!$D5:$F254*(((CIMB!$G5:$G254="UpSave")*((CIMB!$H5:$H254="Load")+(CIMB!$H5:$H254="Interest")))+((CIMB!$G5:$G254="GSave")*(CIMB!$H5:$H254="Transfer"))))</f>
        <v>0</v>
      </c>
      <c r="E2" s="201"/>
      <c r="F2" s="202"/>
      <c r="G2" s="203" cm="1">
        <f t="array" ref="G2">SUMPRODUCT(CIMB!$D5:$F254*(CIMB!$G5:$G254="UpSave")*(((CIMB!$H5:$H254="Hold")*(CIMB!$I5:$K254&lt;&gt;"Return"))+(CIMB!$H5:$H254="Transfer")+(CIMB!$H5:$H254="Out")))</f>
        <v>0</v>
      </c>
      <c r="H2" s="204"/>
      <c r="I2" s="205">
        <f>D2-G2</f>
        <v>0</v>
      </c>
      <c r="J2" s="206"/>
      <c r="K2" s="207"/>
    </row>
    <row r="3" spans="2:11" ht="15.5" customHeight="1" thickBot="1" x14ac:dyDescent="0.4">
      <c r="B3" s="208"/>
      <c r="C3" s="209"/>
      <c r="D3" s="200" cm="1">
        <f t="array" ref="D3">SUMPRODUCT(CIMB!$D5:$F254*(((CIMB!$G5:$G254="GSave")*((CIMB!$H5:$H254="Load")+(CIMB!$H5:$H254="Interest")))+((CIMB!$G5:$G254="UpSave")*(CIMB!$H5:$H254="Transfer"))))</f>
        <v>0</v>
      </c>
      <c r="E3" s="201"/>
      <c r="F3" s="202"/>
      <c r="G3" s="203" cm="1">
        <f t="array" ref="G3">SUMPRODUCT(CIMB!$D5:$F254*(CIMB!$G5:$G254="Gsave")*(((CIMB!$H5:$H254="Hold")*(CIMB!$I5:$K254&lt;&gt;"Return"))+(CIMB!$H5:$H254="Transfer")+(CIMB!$H5:$H254="Out")))</f>
        <v>0</v>
      </c>
      <c r="H3" s="204"/>
      <c r="I3" s="205">
        <f>D3-G3</f>
        <v>0</v>
      </c>
      <c r="J3" s="206"/>
      <c r="K3" s="207"/>
    </row>
    <row r="4" spans="2:11" ht="15" customHeight="1" x14ac:dyDescent="0.35">
      <c r="B4" s="145" t="s">
        <v>2</v>
      </c>
      <c r="C4" s="146"/>
      <c r="D4" s="146" t="s">
        <v>3</v>
      </c>
      <c r="E4" s="146"/>
      <c r="F4" s="146"/>
      <c r="G4" s="80" t="s">
        <v>30</v>
      </c>
      <c r="H4" s="65" t="s">
        <v>4</v>
      </c>
      <c r="I4" s="146" t="s">
        <v>5</v>
      </c>
      <c r="J4" s="146"/>
      <c r="K4" s="213"/>
    </row>
    <row r="5" spans="2:11" x14ac:dyDescent="0.35">
      <c r="B5" s="139"/>
      <c r="C5" s="140"/>
      <c r="D5" s="210"/>
      <c r="E5" s="210"/>
      <c r="F5" s="210"/>
      <c r="G5" s="63"/>
      <c r="H5" s="66"/>
      <c r="I5" s="211"/>
      <c r="J5" s="211"/>
      <c r="K5" s="212"/>
    </row>
    <row r="6" spans="2:11" x14ac:dyDescent="0.35">
      <c r="B6" s="139"/>
      <c r="C6" s="140"/>
      <c r="D6" s="210"/>
      <c r="E6" s="210"/>
      <c r="F6" s="210"/>
      <c r="G6" s="63"/>
      <c r="H6" s="66"/>
      <c r="I6" s="211"/>
      <c r="J6" s="211"/>
      <c r="K6" s="212"/>
    </row>
    <row r="7" spans="2:11" ht="26" customHeight="1" x14ac:dyDescent="0.35">
      <c r="B7" s="139"/>
      <c r="C7" s="140"/>
      <c r="D7" s="210"/>
      <c r="E7" s="210"/>
      <c r="F7" s="210"/>
      <c r="G7" s="63"/>
      <c r="H7" s="66"/>
      <c r="I7" s="211"/>
      <c r="J7" s="211"/>
      <c r="K7" s="212"/>
    </row>
    <row r="8" spans="2:11" ht="52" customHeight="1" x14ac:dyDescent="0.35">
      <c r="B8" s="139"/>
      <c r="C8" s="140"/>
      <c r="D8" s="172"/>
      <c r="E8" s="172"/>
      <c r="F8" s="172"/>
      <c r="G8" s="63"/>
      <c r="H8" s="66"/>
      <c r="I8" s="214"/>
      <c r="J8" s="214"/>
      <c r="K8" s="215"/>
    </row>
    <row r="9" spans="2:11" x14ac:dyDescent="0.35">
      <c r="B9" s="139"/>
      <c r="C9" s="140"/>
      <c r="D9" s="172"/>
      <c r="E9" s="172"/>
      <c r="F9" s="172"/>
      <c r="G9" s="63"/>
      <c r="H9" s="66"/>
      <c r="I9" s="214"/>
      <c r="J9" s="214"/>
      <c r="K9" s="215"/>
    </row>
    <row r="10" spans="2:11" x14ac:dyDescent="0.35">
      <c r="B10" s="139"/>
      <c r="C10" s="140"/>
      <c r="D10" s="172"/>
      <c r="E10" s="172"/>
      <c r="F10" s="172"/>
      <c r="G10" s="63"/>
      <c r="H10" s="66"/>
      <c r="I10" s="214"/>
      <c r="J10" s="214"/>
      <c r="K10" s="215"/>
    </row>
    <row r="11" spans="2:11" x14ac:dyDescent="0.35">
      <c r="B11" s="139"/>
      <c r="C11" s="140"/>
      <c r="D11" s="172"/>
      <c r="E11" s="172"/>
      <c r="F11" s="172"/>
      <c r="G11" s="63"/>
      <c r="H11" s="66"/>
      <c r="I11" s="214"/>
      <c r="J11" s="214"/>
      <c r="K11" s="215"/>
    </row>
    <row r="12" spans="2:11" x14ac:dyDescent="0.35">
      <c r="B12" s="139"/>
      <c r="C12" s="140"/>
      <c r="D12" s="172"/>
      <c r="E12" s="172"/>
      <c r="F12" s="172"/>
      <c r="G12" s="63"/>
      <c r="H12" s="66"/>
      <c r="I12" s="214"/>
      <c r="J12" s="214"/>
      <c r="K12" s="215"/>
    </row>
    <row r="13" spans="2:11" x14ac:dyDescent="0.35">
      <c r="B13" s="139"/>
      <c r="C13" s="140"/>
      <c r="D13" s="172"/>
      <c r="E13" s="172"/>
      <c r="F13" s="172"/>
      <c r="G13" s="63"/>
      <c r="H13" s="66"/>
      <c r="I13" s="214"/>
      <c r="J13" s="214"/>
      <c r="K13" s="215"/>
    </row>
    <row r="14" spans="2:11" x14ac:dyDescent="0.35">
      <c r="B14" s="139"/>
      <c r="C14" s="140"/>
      <c r="D14" s="172"/>
      <c r="E14" s="172"/>
      <c r="F14" s="172"/>
      <c r="G14" s="63"/>
      <c r="H14" s="66"/>
      <c r="I14" s="214"/>
      <c r="J14" s="214"/>
      <c r="K14" s="215"/>
    </row>
    <row r="15" spans="2:11" x14ac:dyDescent="0.35">
      <c r="B15" s="139"/>
      <c r="C15" s="140"/>
      <c r="D15" s="172"/>
      <c r="E15" s="172"/>
      <c r="F15" s="172"/>
      <c r="G15" s="63"/>
      <c r="H15" s="66"/>
      <c r="I15" s="214"/>
      <c r="J15" s="214"/>
      <c r="K15" s="215"/>
    </row>
    <row r="16" spans="2:11" x14ac:dyDescent="0.35">
      <c r="B16" s="139"/>
      <c r="C16" s="140"/>
      <c r="D16" s="172"/>
      <c r="E16" s="172"/>
      <c r="F16" s="172"/>
      <c r="G16" s="63"/>
      <c r="H16" s="66"/>
      <c r="I16" s="214"/>
      <c r="J16" s="214"/>
      <c r="K16" s="215"/>
    </row>
    <row r="17" spans="2:11" x14ac:dyDescent="0.35">
      <c r="B17" s="139"/>
      <c r="C17" s="140"/>
      <c r="D17" s="172"/>
      <c r="E17" s="172"/>
      <c r="F17" s="172"/>
      <c r="G17" s="63"/>
      <c r="H17" s="66"/>
      <c r="I17" s="214"/>
      <c r="J17" s="214"/>
      <c r="K17" s="215"/>
    </row>
    <row r="18" spans="2:11" x14ac:dyDescent="0.35">
      <c r="B18" s="139"/>
      <c r="C18" s="140"/>
      <c r="D18" s="172"/>
      <c r="E18" s="172"/>
      <c r="F18" s="172"/>
      <c r="G18" s="63"/>
      <c r="H18" s="66"/>
      <c r="I18" s="214"/>
      <c r="J18" s="214"/>
      <c r="K18" s="215"/>
    </row>
    <row r="19" spans="2:11" x14ac:dyDescent="0.35">
      <c r="B19" s="139"/>
      <c r="C19" s="140"/>
      <c r="D19" s="172"/>
      <c r="E19" s="172"/>
      <c r="F19" s="172"/>
      <c r="G19" s="63"/>
      <c r="H19" s="66"/>
      <c r="I19" s="214"/>
      <c r="J19" s="214"/>
      <c r="K19" s="215"/>
    </row>
    <row r="20" spans="2:11" x14ac:dyDescent="0.35">
      <c r="B20" s="139"/>
      <c r="C20" s="140"/>
      <c r="D20" s="172"/>
      <c r="E20" s="172"/>
      <c r="F20" s="172"/>
      <c r="G20" s="63"/>
      <c r="H20" s="66"/>
      <c r="I20" s="214"/>
      <c r="J20" s="214"/>
      <c r="K20" s="215"/>
    </row>
    <row r="21" spans="2:11" x14ac:dyDescent="0.35">
      <c r="B21" s="139"/>
      <c r="C21" s="140"/>
      <c r="D21" s="172"/>
      <c r="E21" s="172"/>
      <c r="F21" s="172"/>
      <c r="G21" s="63"/>
      <c r="H21" s="66"/>
      <c r="I21" s="214"/>
      <c r="J21" s="214"/>
      <c r="K21" s="215"/>
    </row>
    <row r="22" spans="2:11" x14ac:dyDescent="0.35">
      <c r="B22" s="139"/>
      <c r="C22" s="140"/>
      <c r="D22" s="172"/>
      <c r="E22" s="172"/>
      <c r="F22" s="172"/>
      <c r="G22" s="63"/>
      <c r="H22" s="66"/>
      <c r="I22" s="214"/>
      <c r="J22" s="214"/>
      <c r="K22" s="215"/>
    </row>
    <row r="23" spans="2:11" x14ac:dyDescent="0.35">
      <c r="B23" s="139"/>
      <c r="C23" s="140"/>
      <c r="D23" s="172"/>
      <c r="E23" s="172"/>
      <c r="F23" s="172"/>
      <c r="G23" s="63"/>
      <c r="H23" s="66"/>
      <c r="I23" s="214"/>
      <c r="J23" s="214"/>
      <c r="K23" s="215"/>
    </row>
    <row r="24" spans="2:11" x14ac:dyDescent="0.35">
      <c r="B24" s="139"/>
      <c r="C24" s="140"/>
      <c r="D24" s="172"/>
      <c r="E24" s="172"/>
      <c r="F24" s="172"/>
      <c r="G24" s="63"/>
      <c r="H24" s="66"/>
      <c r="I24" s="214"/>
      <c r="J24" s="214"/>
      <c r="K24" s="215"/>
    </row>
    <row r="25" spans="2:11" x14ac:dyDescent="0.35">
      <c r="B25" s="139"/>
      <c r="C25" s="140"/>
      <c r="D25" s="172"/>
      <c r="E25" s="172"/>
      <c r="F25" s="172"/>
      <c r="G25" s="63"/>
      <c r="H25" s="66"/>
      <c r="I25" s="214"/>
      <c r="J25" s="214"/>
      <c r="K25" s="215"/>
    </row>
    <row r="26" spans="2:11" x14ac:dyDescent="0.35">
      <c r="B26" s="139"/>
      <c r="C26" s="140"/>
      <c r="D26" s="172"/>
      <c r="E26" s="172"/>
      <c r="F26" s="172"/>
      <c r="G26" s="63"/>
      <c r="H26" s="66"/>
      <c r="I26" s="214"/>
      <c r="J26" s="214"/>
      <c r="K26" s="215"/>
    </row>
    <row r="27" spans="2:11" x14ac:dyDescent="0.35">
      <c r="B27" s="139"/>
      <c r="C27" s="140"/>
      <c r="D27" s="172"/>
      <c r="E27" s="172"/>
      <c r="F27" s="172"/>
      <c r="G27" s="63"/>
      <c r="H27" s="66"/>
      <c r="I27" s="214"/>
      <c r="J27" s="214"/>
      <c r="K27" s="215"/>
    </row>
    <row r="28" spans="2:11" x14ac:dyDescent="0.35">
      <c r="B28" s="139"/>
      <c r="C28" s="140"/>
      <c r="D28" s="172"/>
      <c r="E28" s="172"/>
      <c r="F28" s="172"/>
      <c r="G28" s="63"/>
      <c r="H28" s="66"/>
      <c r="I28" s="214"/>
      <c r="J28" s="214"/>
      <c r="K28" s="215"/>
    </row>
    <row r="29" spans="2:11" x14ac:dyDescent="0.35">
      <c r="B29" s="139"/>
      <c r="C29" s="140"/>
      <c r="D29" s="172"/>
      <c r="E29" s="172"/>
      <c r="F29" s="172"/>
      <c r="G29" s="63"/>
      <c r="H29" s="66"/>
      <c r="I29" s="214"/>
      <c r="J29" s="214"/>
      <c r="K29" s="215"/>
    </row>
    <row r="30" spans="2:11" x14ac:dyDescent="0.35">
      <c r="B30" s="139"/>
      <c r="C30" s="140"/>
      <c r="D30" s="172"/>
      <c r="E30" s="172"/>
      <c r="F30" s="172"/>
      <c r="G30" s="63"/>
      <c r="H30" s="66"/>
      <c r="I30" s="214"/>
      <c r="J30" s="214"/>
      <c r="K30" s="215"/>
    </row>
    <row r="31" spans="2:11" x14ac:dyDescent="0.35">
      <c r="B31" s="139"/>
      <c r="C31" s="140"/>
      <c r="D31" s="172"/>
      <c r="E31" s="172"/>
      <c r="F31" s="172"/>
      <c r="G31" s="63"/>
      <c r="H31" s="66"/>
      <c r="I31" s="214"/>
      <c r="J31" s="214"/>
      <c r="K31" s="215"/>
    </row>
    <row r="32" spans="2:11" x14ac:dyDescent="0.35">
      <c r="B32" s="139"/>
      <c r="C32" s="140"/>
      <c r="D32" s="172"/>
      <c r="E32" s="172"/>
      <c r="F32" s="172"/>
      <c r="G32" s="63"/>
      <c r="H32" s="66"/>
      <c r="I32" s="214"/>
      <c r="J32" s="214"/>
      <c r="K32" s="215"/>
    </row>
    <row r="33" spans="2:11" x14ac:dyDescent="0.35">
      <c r="B33" s="139"/>
      <c r="C33" s="140"/>
      <c r="D33" s="172"/>
      <c r="E33" s="172"/>
      <c r="F33" s="172"/>
      <c r="G33" s="63"/>
      <c r="H33" s="66"/>
      <c r="I33" s="214"/>
      <c r="J33" s="214"/>
      <c r="K33" s="215"/>
    </row>
    <row r="34" spans="2:11" x14ac:dyDescent="0.35">
      <c r="B34" s="139"/>
      <c r="C34" s="140"/>
      <c r="D34" s="172"/>
      <c r="E34" s="172"/>
      <c r="F34" s="172"/>
      <c r="G34" s="63"/>
      <c r="H34" s="66"/>
      <c r="I34" s="214"/>
      <c r="J34" s="214"/>
      <c r="K34" s="215"/>
    </row>
    <row r="35" spans="2:11" x14ac:dyDescent="0.35">
      <c r="B35" s="139"/>
      <c r="C35" s="140"/>
      <c r="D35" s="172"/>
      <c r="E35" s="172"/>
      <c r="F35" s="172"/>
      <c r="G35" s="63"/>
      <c r="H35" s="66"/>
      <c r="I35" s="214"/>
      <c r="J35" s="214"/>
      <c r="K35" s="215"/>
    </row>
    <row r="36" spans="2:11" x14ac:dyDescent="0.35">
      <c r="B36" s="139"/>
      <c r="C36" s="140"/>
      <c r="D36" s="172"/>
      <c r="E36" s="172"/>
      <c r="F36" s="172"/>
      <c r="G36" s="63"/>
      <c r="H36" s="66"/>
      <c r="I36" s="214"/>
      <c r="J36" s="214"/>
      <c r="K36" s="215"/>
    </row>
    <row r="37" spans="2:11" x14ac:dyDescent="0.35">
      <c r="B37" s="139"/>
      <c r="C37" s="140"/>
      <c r="D37" s="172"/>
      <c r="E37" s="172"/>
      <c r="F37" s="172"/>
      <c r="G37" s="63"/>
      <c r="H37" s="66"/>
      <c r="I37" s="214"/>
      <c r="J37" s="214"/>
      <c r="K37" s="215"/>
    </row>
    <row r="38" spans="2:11" x14ac:dyDescent="0.35">
      <c r="B38" s="139"/>
      <c r="C38" s="140"/>
      <c r="D38" s="172"/>
      <c r="E38" s="172"/>
      <c r="F38" s="172"/>
      <c r="G38" s="63"/>
      <c r="H38" s="66"/>
      <c r="I38" s="214"/>
      <c r="J38" s="214"/>
      <c r="K38" s="215"/>
    </row>
    <row r="39" spans="2:11" x14ac:dyDescent="0.35">
      <c r="B39" s="139"/>
      <c r="C39" s="140"/>
      <c r="D39" s="172"/>
      <c r="E39" s="172"/>
      <c r="F39" s="172"/>
      <c r="G39" s="63"/>
      <c r="H39" s="66"/>
      <c r="I39" s="214"/>
      <c r="J39" s="214"/>
      <c r="K39" s="215"/>
    </row>
    <row r="40" spans="2:11" x14ac:dyDescent="0.35">
      <c r="B40" s="139"/>
      <c r="C40" s="140"/>
      <c r="D40" s="172"/>
      <c r="E40" s="172"/>
      <c r="F40" s="172"/>
      <c r="G40" s="63"/>
      <c r="H40" s="66"/>
      <c r="I40" s="214"/>
      <c r="J40" s="214"/>
      <c r="K40" s="215"/>
    </row>
    <row r="41" spans="2:11" x14ac:dyDescent="0.35">
      <c r="B41" s="139"/>
      <c r="C41" s="140"/>
      <c r="D41" s="172"/>
      <c r="E41" s="172"/>
      <c r="F41" s="172"/>
      <c r="G41" s="63"/>
      <c r="H41" s="66"/>
      <c r="I41" s="214"/>
      <c r="J41" s="214"/>
      <c r="K41" s="215"/>
    </row>
    <row r="42" spans="2:11" x14ac:dyDescent="0.35">
      <c r="B42" s="139"/>
      <c r="C42" s="140"/>
      <c r="D42" s="172"/>
      <c r="E42" s="172"/>
      <c r="F42" s="172"/>
      <c r="G42" s="63"/>
      <c r="H42" s="66"/>
      <c r="I42" s="214"/>
      <c r="J42" s="214"/>
      <c r="K42" s="215"/>
    </row>
    <row r="43" spans="2:11" x14ac:dyDescent="0.35">
      <c r="B43" s="139"/>
      <c r="C43" s="140"/>
      <c r="D43" s="172"/>
      <c r="E43" s="172"/>
      <c r="F43" s="172"/>
      <c r="G43" s="63"/>
      <c r="H43" s="66"/>
      <c r="I43" s="214"/>
      <c r="J43" s="214"/>
      <c r="K43" s="215"/>
    </row>
    <row r="44" spans="2:11" x14ac:dyDescent="0.35">
      <c r="B44" s="139"/>
      <c r="C44" s="140"/>
      <c r="D44" s="172"/>
      <c r="E44" s="172"/>
      <c r="F44" s="172"/>
      <c r="G44" s="63"/>
      <c r="H44" s="66"/>
      <c r="I44" s="214"/>
      <c r="J44" s="214"/>
      <c r="K44" s="215"/>
    </row>
    <row r="45" spans="2:11" x14ac:dyDescent="0.35">
      <c r="B45" s="139"/>
      <c r="C45" s="140"/>
      <c r="D45" s="172"/>
      <c r="E45" s="172"/>
      <c r="F45" s="172"/>
      <c r="G45" s="63"/>
      <c r="H45" s="66"/>
      <c r="I45" s="214"/>
      <c r="J45" s="214"/>
      <c r="K45" s="215"/>
    </row>
    <row r="46" spans="2:11" x14ac:dyDescent="0.35">
      <c r="B46" s="139"/>
      <c r="C46" s="140"/>
      <c r="D46" s="172"/>
      <c r="E46" s="172"/>
      <c r="F46" s="172"/>
      <c r="G46" s="63"/>
      <c r="H46" s="66"/>
      <c r="I46" s="214"/>
      <c r="J46" s="214"/>
      <c r="K46" s="215"/>
    </row>
    <row r="47" spans="2:11" x14ac:dyDescent="0.35">
      <c r="B47" s="139"/>
      <c r="C47" s="140"/>
      <c r="D47" s="172"/>
      <c r="E47" s="172"/>
      <c r="F47" s="172"/>
      <c r="G47" s="63"/>
      <c r="H47" s="66"/>
      <c r="I47" s="214"/>
      <c r="J47" s="214"/>
      <c r="K47" s="215"/>
    </row>
    <row r="48" spans="2:11" x14ac:dyDescent="0.35">
      <c r="B48" s="139"/>
      <c r="C48" s="140"/>
      <c r="D48" s="172"/>
      <c r="E48" s="172"/>
      <c r="F48" s="172"/>
      <c r="G48" s="63"/>
      <c r="H48" s="66"/>
      <c r="I48" s="214"/>
      <c r="J48" s="214"/>
      <c r="K48" s="215"/>
    </row>
    <row r="49" spans="2:11" x14ac:dyDescent="0.35">
      <c r="B49" s="139"/>
      <c r="C49" s="140"/>
      <c r="D49" s="172"/>
      <c r="E49" s="172"/>
      <c r="F49" s="172"/>
      <c r="G49" s="63"/>
      <c r="H49" s="66"/>
      <c r="I49" s="214"/>
      <c r="J49" s="214"/>
      <c r="K49" s="215"/>
    </row>
    <row r="50" spans="2:11" x14ac:dyDescent="0.35">
      <c r="B50" s="139"/>
      <c r="C50" s="140"/>
      <c r="D50" s="172"/>
      <c r="E50" s="172"/>
      <c r="F50" s="172"/>
      <c r="G50" s="63"/>
      <c r="H50" s="66"/>
      <c r="I50" s="214"/>
      <c r="J50" s="214"/>
      <c r="K50" s="215"/>
    </row>
    <row r="51" spans="2:11" x14ac:dyDescent="0.35">
      <c r="B51" s="139"/>
      <c r="C51" s="140"/>
      <c r="D51" s="172"/>
      <c r="E51" s="172"/>
      <c r="F51" s="172"/>
      <c r="G51" s="63"/>
      <c r="H51" s="66"/>
      <c r="I51" s="214"/>
      <c r="J51" s="214"/>
      <c r="K51" s="215"/>
    </row>
    <row r="52" spans="2:11" x14ac:dyDescent="0.35">
      <c r="B52" s="139"/>
      <c r="C52" s="140"/>
      <c r="D52" s="172"/>
      <c r="E52" s="172"/>
      <c r="F52" s="172"/>
      <c r="G52" s="63"/>
      <c r="H52" s="66"/>
      <c r="I52" s="214"/>
      <c r="J52" s="214"/>
      <c r="K52" s="215"/>
    </row>
    <row r="53" spans="2:11" x14ac:dyDescent="0.35">
      <c r="B53" s="139"/>
      <c r="C53" s="140"/>
      <c r="D53" s="172"/>
      <c r="E53" s="172"/>
      <c r="F53" s="172"/>
      <c r="G53" s="63"/>
      <c r="H53" s="66"/>
      <c r="I53" s="214"/>
      <c r="J53" s="214"/>
      <c r="K53" s="215"/>
    </row>
    <row r="54" spans="2:11" x14ac:dyDescent="0.35">
      <c r="B54" s="139"/>
      <c r="C54" s="140"/>
      <c r="D54" s="172"/>
      <c r="E54" s="172"/>
      <c r="F54" s="172"/>
      <c r="G54" s="63"/>
      <c r="H54" s="66"/>
      <c r="I54" s="214"/>
      <c r="J54" s="214"/>
      <c r="K54" s="215"/>
    </row>
    <row r="55" spans="2:11" x14ac:dyDescent="0.35">
      <c r="B55" s="139"/>
      <c r="C55" s="140"/>
      <c r="D55" s="172"/>
      <c r="E55" s="172"/>
      <c r="F55" s="172"/>
      <c r="G55" s="63"/>
      <c r="H55" s="66"/>
      <c r="I55" s="214"/>
      <c r="J55" s="214"/>
      <c r="K55" s="215"/>
    </row>
    <row r="56" spans="2:11" x14ac:dyDescent="0.35">
      <c r="B56" s="139"/>
      <c r="C56" s="140"/>
      <c r="D56" s="172"/>
      <c r="E56" s="172"/>
      <c r="F56" s="172"/>
      <c r="G56" s="63"/>
      <c r="H56" s="66"/>
      <c r="I56" s="214"/>
      <c r="J56" s="214"/>
      <c r="K56" s="215"/>
    </row>
    <row r="57" spans="2:11" x14ac:dyDescent="0.35">
      <c r="B57" s="139"/>
      <c r="C57" s="140"/>
      <c r="D57" s="172"/>
      <c r="E57" s="172"/>
      <c r="F57" s="172"/>
      <c r="G57" s="63"/>
      <c r="H57" s="66"/>
      <c r="I57" s="214"/>
      <c r="J57" s="214"/>
      <c r="K57" s="215"/>
    </row>
    <row r="58" spans="2:11" x14ac:dyDescent="0.35">
      <c r="B58" s="139"/>
      <c r="C58" s="140"/>
      <c r="D58" s="172"/>
      <c r="E58" s="172"/>
      <c r="F58" s="172"/>
      <c r="G58" s="63"/>
      <c r="H58" s="66"/>
      <c r="I58" s="214"/>
      <c r="J58" s="214"/>
      <c r="K58" s="215"/>
    </row>
    <row r="59" spans="2:11" x14ac:dyDescent="0.35">
      <c r="B59" s="139"/>
      <c r="C59" s="140"/>
      <c r="D59" s="172"/>
      <c r="E59" s="172"/>
      <c r="F59" s="172"/>
      <c r="G59" s="63"/>
      <c r="H59" s="66"/>
      <c r="I59" s="214"/>
      <c r="J59" s="214"/>
      <c r="K59" s="215"/>
    </row>
    <row r="60" spans="2:11" x14ac:dyDescent="0.35">
      <c r="B60" s="139"/>
      <c r="C60" s="140"/>
      <c r="D60" s="172"/>
      <c r="E60" s="172"/>
      <c r="F60" s="172"/>
      <c r="G60" s="63"/>
      <c r="H60" s="66"/>
      <c r="I60" s="214"/>
      <c r="J60" s="214"/>
      <c r="K60" s="215"/>
    </row>
    <row r="61" spans="2:11" x14ac:dyDescent="0.35">
      <c r="B61" s="139"/>
      <c r="C61" s="140"/>
      <c r="D61" s="172"/>
      <c r="E61" s="172"/>
      <c r="F61" s="172"/>
      <c r="G61" s="63"/>
      <c r="H61" s="66"/>
      <c r="I61" s="214"/>
      <c r="J61" s="214"/>
      <c r="K61" s="215"/>
    </row>
    <row r="62" spans="2:11" x14ac:dyDescent="0.35">
      <c r="B62" s="139"/>
      <c r="C62" s="140"/>
      <c r="D62" s="172"/>
      <c r="E62" s="172"/>
      <c r="F62" s="172"/>
      <c r="G62" s="63"/>
      <c r="H62" s="66"/>
      <c r="I62" s="214"/>
      <c r="J62" s="214"/>
      <c r="K62" s="215"/>
    </row>
    <row r="63" spans="2:11" x14ac:dyDescent="0.35">
      <c r="B63" s="139"/>
      <c r="C63" s="140"/>
      <c r="D63" s="172"/>
      <c r="E63" s="172"/>
      <c r="F63" s="172"/>
      <c r="G63" s="63"/>
      <c r="H63" s="66"/>
      <c r="I63" s="214"/>
      <c r="J63" s="214"/>
      <c r="K63" s="215"/>
    </row>
    <row r="64" spans="2:11" x14ac:dyDescent="0.35">
      <c r="B64" s="139"/>
      <c r="C64" s="140"/>
      <c r="D64" s="172"/>
      <c r="E64" s="172"/>
      <c r="F64" s="172"/>
      <c r="G64" s="63"/>
      <c r="H64" s="66"/>
      <c r="I64" s="214"/>
      <c r="J64" s="214"/>
      <c r="K64" s="215"/>
    </row>
    <row r="65" spans="2:11" x14ac:dyDescent="0.35">
      <c r="B65" s="139"/>
      <c r="C65" s="140"/>
      <c r="D65" s="172"/>
      <c r="E65" s="172"/>
      <c r="F65" s="172"/>
      <c r="G65" s="63"/>
      <c r="H65" s="66"/>
      <c r="I65" s="214"/>
      <c r="J65" s="214"/>
      <c r="K65" s="215"/>
    </row>
    <row r="66" spans="2:11" x14ac:dyDescent="0.35">
      <c r="B66" s="139"/>
      <c r="C66" s="140"/>
      <c r="D66" s="172"/>
      <c r="E66" s="172"/>
      <c r="F66" s="172"/>
      <c r="G66" s="63"/>
      <c r="H66" s="66"/>
      <c r="I66" s="214"/>
      <c r="J66" s="214"/>
      <c r="K66" s="215"/>
    </row>
    <row r="67" spans="2:11" x14ac:dyDescent="0.35">
      <c r="B67" s="139"/>
      <c r="C67" s="140"/>
      <c r="D67" s="172"/>
      <c r="E67" s="172"/>
      <c r="F67" s="172"/>
      <c r="G67" s="63"/>
      <c r="H67" s="66"/>
      <c r="I67" s="214"/>
      <c r="J67" s="214"/>
      <c r="K67" s="215"/>
    </row>
    <row r="68" spans="2:11" x14ac:dyDescent="0.35">
      <c r="B68" s="139"/>
      <c r="C68" s="140"/>
      <c r="D68" s="172"/>
      <c r="E68" s="172"/>
      <c r="F68" s="172"/>
      <c r="G68" s="63"/>
      <c r="H68" s="66"/>
      <c r="I68" s="214"/>
      <c r="J68" s="214"/>
      <c r="K68" s="215"/>
    </row>
    <row r="69" spans="2:11" x14ac:dyDescent="0.35">
      <c r="B69" s="139"/>
      <c r="C69" s="140"/>
      <c r="D69" s="172"/>
      <c r="E69" s="172"/>
      <c r="F69" s="172"/>
      <c r="G69" s="63"/>
      <c r="H69" s="66"/>
      <c r="I69" s="214"/>
      <c r="J69" s="214"/>
      <c r="K69" s="215"/>
    </row>
    <row r="70" spans="2:11" x14ac:dyDescent="0.35">
      <c r="B70" s="139"/>
      <c r="C70" s="140"/>
      <c r="D70" s="172"/>
      <c r="E70" s="172"/>
      <c r="F70" s="172"/>
      <c r="G70" s="63"/>
      <c r="H70" s="66"/>
      <c r="I70" s="214"/>
      <c r="J70" s="214"/>
      <c r="K70" s="215"/>
    </row>
    <row r="71" spans="2:11" x14ac:dyDescent="0.35">
      <c r="B71" s="139"/>
      <c r="C71" s="140"/>
      <c r="D71" s="172"/>
      <c r="E71" s="172"/>
      <c r="F71" s="172"/>
      <c r="G71" s="63"/>
      <c r="H71" s="66"/>
      <c r="I71" s="214"/>
      <c r="J71" s="214"/>
      <c r="K71" s="215"/>
    </row>
    <row r="72" spans="2:11" x14ac:dyDescent="0.35">
      <c r="B72" s="139"/>
      <c r="C72" s="140"/>
      <c r="D72" s="172"/>
      <c r="E72" s="172"/>
      <c r="F72" s="172"/>
      <c r="G72" s="63"/>
      <c r="H72" s="66"/>
      <c r="I72" s="214"/>
      <c r="J72" s="214"/>
      <c r="K72" s="215"/>
    </row>
    <row r="73" spans="2:11" x14ac:dyDescent="0.35">
      <c r="B73" s="139"/>
      <c r="C73" s="140"/>
      <c r="D73" s="172"/>
      <c r="E73" s="172"/>
      <c r="F73" s="172"/>
      <c r="G73" s="63"/>
      <c r="H73" s="66"/>
      <c r="I73" s="214"/>
      <c r="J73" s="214"/>
      <c r="K73" s="215"/>
    </row>
    <row r="74" spans="2:11" x14ac:dyDescent="0.35">
      <c r="B74" s="139"/>
      <c r="C74" s="140"/>
      <c r="D74" s="172"/>
      <c r="E74" s="172"/>
      <c r="F74" s="172"/>
      <c r="G74" s="63"/>
      <c r="H74" s="66"/>
      <c r="I74" s="214"/>
      <c r="J74" s="214"/>
      <c r="K74" s="215"/>
    </row>
    <row r="75" spans="2:11" x14ac:dyDescent="0.35">
      <c r="B75" s="139"/>
      <c r="C75" s="140"/>
      <c r="D75" s="172"/>
      <c r="E75" s="172"/>
      <c r="F75" s="172"/>
      <c r="G75" s="63"/>
      <c r="H75" s="66"/>
      <c r="I75" s="214"/>
      <c r="J75" s="214"/>
      <c r="K75" s="215"/>
    </row>
    <row r="76" spans="2:11" x14ac:dyDescent="0.35">
      <c r="B76" s="139"/>
      <c r="C76" s="140"/>
      <c r="D76" s="172"/>
      <c r="E76" s="172"/>
      <c r="F76" s="172"/>
      <c r="G76" s="63"/>
      <c r="H76" s="66"/>
      <c r="I76" s="214"/>
      <c r="J76" s="214"/>
      <c r="K76" s="215"/>
    </row>
    <row r="77" spans="2:11" x14ac:dyDescent="0.35">
      <c r="B77" s="139"/>
      <c r="C77" s="140"/>
      <c r="D77" s="172"/>
      <c r="E77" s="172"/>
      <c r="F77" s="172"/>
      <c r="G77" s="63"/>
      <c r="H77" s="66"/>
      <c r="I77" s="214"/>
      <c r="J77" s="214"/>
      <c r="K77" s="215"/>
    </row>
    <row r="78" spans="2:11" x14ac:dyDescent="0.35">
      <c r="B78" s="139"/>
      <c r="C78" s="140"/>
      <c r="D78" s="172"/>
      <c r="E78" s="172"/>
      <c r="F78" s="172"/>
      <c r="G78" s="63"/>
      <c r="H78" s="66"/>
      <c r="I78" s="214"/>
      <c r="J78" s="214"/>
      <c r="K78" s="215"/>
    </row>
    <row r="79" spans="2:11" x14ac:dyDescent="0.35">
      <c r="B79" s="139"/>
      <c r="C79" s="140"/>
      <c r="D79" s="172"/>
      <c r="E79" s="172"/>
      <c r="F79" s="172"/>
      <c r="G79" s="63"/>
      <c r="H79" s="66"/>
      <c r="I79" s="214"/>
      <c r="J79" s="214"/>
      <c r="K79" s="215"/>
    </row>
    <row r="80" spans="2:11" x14ac:dyDescent="0.35">
      <c r="B80" s="139"/>
      <c r="C80" s="140"/>
      <c r="D80" s="172"/>
      <c r="E80" s="172"/>
      <c r="F80" s="172"/>
      <c r="G80" s="63"/>
      <c r="H80" s="66"/>
      <c r="I80" s="214"/>
      <c r="J80" s="214"/>
      <c r="K80" s="215"/>
    </row>
    <row r="81" spans="2:11" x14ac:dyDescent="0.35">
      <c r="B81" s="139"/>
      <c r="C81" s="140"/>
      <c r="D81" s="172"/>
      <c r="E81" s="172"/>
      <c r="F81" s="172"/>
      <c r="G81" s="63"/>
      <c r="H81" s="66"/>
      <c r="I81" s="214"/>
      <c r="J81" s="214"/>
      <c r="K81" s="215"/>
    </row>
    <row r="82" spans="2:11" x14ac:dyDescent="0.35">
      <c r="B82" s="139"/>
      <c r="C82" s="140"/>
      <c r="D82" s="172"/>
      <c r="E82" s="172"/>
      <c r="F82" s="172"/>
      <c r="G82" s="63"/>
      <c r="H82" s="66"/>
      <c r="I82" s="214"/>
      <c r="J82" s="214"/>
      <c r="K82" s="215"/>
    </row>
    <row r="83" spans="2:11" x14ac:dyDescent="0.35">
      <c r="B83" s="139"/>
      <c r="C83" s="140"/>
      <c r="D83" s="172"/>
      <c r="E83" s="172"/>
      <c r="F83" s="172"/>
      <c r="G83" s="63"/>
      <c r="H83" s="66"/>
      <c r="I83" s="214"/>
      <c r="J83" s="214"/>
      <c r="K83" s="215"/>
    </row>
    <row r="84" spans="2:11" x14ac:dyDescent="0.35">
      <c r="B84" s="139"/>
      <c r="C84" s="140"/>
      <c r="D84" s="172"/>
      <c r="E84" s="172"/>
      <c r="F84" s="172"/>
      <c r="G84" s="63"/>
      <c r="H84" s="66"/>
      <c r="I84" s="214"/>
      <c r="J84" s="214"/>
      <c r="K84" s="215"/>
    </row>
    <row r="85" spans="2:11" x14ac:dyDescent="0.35">
      <c r="B85" s="139"/>
      <c r="C85" s="140"/>
      <c r="D85" s="172"/>
      <c r="E85" s="172"/>
      <c r="F85" s="172"/>
      <c r="G85" s="63"/>
      <c r="H85" s="66"/>
      <c r="I85" s="214"/>
      <c r="J85" s="214"/>
      <c r="K85" s="215"/>
    </row>
    <row r="86" spans="2:11" x14ac:dyDescent="0.35">
      <c r="B86" s="139"/>
      <c r="C86" s="140"/>
      <c r="D86" s="172"/>
      <c r="E86" s="172"/>
      <c r="F86" s="172"/>
      <c r="G86" s="63"/>
      <c r="H86" s="66"/>
      <c r="I86" s="214"/>
      <c r="J86" s="214"/>
      <c r="K86" s="215"/>
    </row>
    <row r="87" spans="2:11" x14ac:dyDescent="0.35">
      <c r="B87" s="139"/>
      <c r="C87" s="140"/>
      <c r="D87" s="172"/>
      <c r="E87" s="172"/>
      <c r="F87" s="172"/>
      <c r="G87" s="63"/>
      <c r="H87" s="66"/>
      <c r="I87" s="214"/>
      <c r="J87" s="214"/>
      <c r="K87" s="215"/>
    </row>
    <row r="88" spans="2:11" x14ac:dyDescent="0.35">
      <c r="B88" s="139"/>
      <c r="C88" s="140"/>
      <c r="D88" s="172"/>
      <c r="E88" s="172"/>
      <c r="F88" s="172"/>
      <c r="G88" s="63"/>
      <c r="H88" s="66"/>
      <c r="I88" s="214"/>
      <c r="J88" s="214"/>
      <c r="K88" s="215"/>
    </row>
    <row r="89" spans="2:11" x14ac:dyDescent="0.35">
      <c r="B89" s="139"/>
      <c r="C89" s="140"/>
      <c r="D89" s="172"/>
      <c r="E89" s="172"/>
      <c r="F89" s="172"/>
      <c r="G89" s="63"/>
      <c r="H89" s="66"/>
      <c r="I89" s="214"/>
      <c r="J89" s="214"/>
      <c r="K89" s="215"/>
    </row>
    <row r="90" spans="2:11" x14ac:dyDescent="0.35">
      <c r="B90" s="139"/>
      <c r="C90" s="140"/>
      <c r="D90" s="172"/>
      <c r="E90" s="172"/>
      <c r="F90" s="172"/>
      <c r="G90" s="63"/>
      <c r="H90" s="66"/>
      <c r="I90" s="214"/>
      <c r="J90" s="214"/>
      <c r="K90" s="215"/>
    </row>
    <row r="91" spans="2:11" x14ac:dyDescent="0.35">
      <c r="B91" s="139"/>
      <c r="C91" s="140"/>
      <c r="D91" s="172"/>
      <c r="E91" s="172"/>
      <c r="F91" s="172"/>
      <c r="G91" s="63"/>
      <c r="H91" s="66"/>
      <c r="I91" s="214"/>
      <c r="J91" s="214"/>
      <c r="K91" s="215"/>
    </row>
    <row r="92" spans="2:11" x14ac:dyDescent="0.35">
      <c r="B92" s="139"/>
      <c r="C92" s="140"/>
      <c r="D92" s="172"/>
      <c r="E92" s="172"/>
      <c r="F92" s="172"/>
      <c r="G92" s="63"/>
      <c r="H92" s="66"/>
      <c r="I92" s="214"/>
      <c r="J92" s="214"/>
      <c r="K92" s="215"/>
    </row>
    <row r="93" spans="2:11" x14ac:dyDescent="0.35">
      <c r="B93" s="139"/>
      <c r="C93" s="140"/>
      <c r="D93" s="172"/>
      <c r="E93" s="172"/>
      <c r="F93" s="172"/>
      <c r="G93" s="63"/>
      <c r="H93" s="66"/>
      <c r="I93" s="214"/>
      <c r="J93" s="214"/>
      <c r="K93" s="215"/>
    </row>
    <row r="94" spans="2:11" x14ac:dyDescent="0.35">
      <c r="B94" s="139"/>
      <c r="C94" s="140"/>
      <c r="D94" s="172"/>
      <c r="E94" s="172"/>
      <c r="F94" s="172"/>
      <c r="G94" s="63"/>
      <c r="H94" s="66"/>
      <c r="I94" s="214"/>
      <c r="J94" s="214"/>
      <c r="K94" s="215"/>
    </row>
    <row r="95" spans="2:11" x14ac:dyDescent="0.35">
      <c r="B95" s="139"/>
      <c r="C95" s="140"/>
      <c r="D95" s="172"/>
      <c r="E95" s="172"/>
      <c r="F95" s="172"/>
      <c r="G95" s="63"/>
      <c r="H95" s="66"/>
      <c r="I95" s="214"/>
      <c r="J95" s="214"/>
      <c r="K95" s="215"/>
    </row>
    <row r="96" spans="2:11" x14ac:dyDescent="0.35">
      <c r="B96" s="139"/>
      <c r="C96" s="140"/>
      <c r="D96" s="172"/>
      <c r="E96" s="172"/>
      <c r="F96" s="172"/>
      <c r="G96" s="63"/>
      <c r="H96" s="66"/>
      <c r="I96" s="214"/>
      <c r="J96" s="214"/>
      <c r="K96" s="215"/>
    </row>
    <row r="97" spans="2:11" x14ac:dyDescent="0.35">
      <c r="B97" s="139"/>
      <c r="C97" s="140"/>
      <c r="D97" s="172"/>
      <c r="E97" s="172"/>
      <c r="F97" s="172"/>
      <c r="G97" s="63"/>
      <c r="H97" s="66"/>
      <c r="I97" s="214"/>
      <c r="J97" s="214"/>
      <c r="K97" s="215"/>
    </row>
    <row r="98" spans="2:11" x14ac:dyDescent="0.35">
      <c r="B98" s="139"/>
      <c r="C98" s="140"/>
      <c r="D98" s="172"/>
      <c r="E98" s="172"/>
      <c r="F98" s="172"/>
      <c r="G98" s="63"/>
      <c r="H98" s="66"/>
      <c r="I98" s="214"/>
      <c r="J98" s="214"/>
      <c r="K98" s="215"/>
    </row>
    <row r="99" spans="2:11" x14ac:dyDescent="0.35">
      <c r="B99" s="139"/>
      <c r="C99" s="140"/>
      <c r="D99" s="172"/>
      <c r="E99" s="172"/>
      <c r="F99" s="172"/>
      <c r="G99" s="63"/>
      <c r="H99" s="66"/>
      <c r="I99" s="214"/>
      <c r="J99" s="214"/>
      <c r="K99" s="215"/>
    </row>
    <row r="100" spans="2:11" x14ac:dyDescent="0.35">
      <c r="B100" s="139"/>
      <c r="C100" s="140"/>
      <c r="D100" s="172"/>
      <c r="E100" s="172"/>
      <c r="F100" s="172"/>
      <c r="G100" s="63"/>
      <c r="H100" s="66"/>
      <c r="I100" s="214"/>
      <c r="J100" s="214"/>
      <c r="K100" s="215"/>
    </row>
    <row r="101" spans="2:11" x14ac:dyDescent="0.35">
      <c r="B101" s="139"/>
      <c r="C101" s="140"/>
      <c r="D101" s="172"/>
      <c r="E101" s="172"/>
      <c r="F101" s="172"/>
      <c r="G101" s="63"/>
      <c r="H101" s="66"/>
      <c r="I101" s="214"/>
      <c r="J101" s="214"/>
      <c r="K101" s="215"/>
    </row>
    <row r="102" spans="2:11" x14ac:dyDescent="0.35">
      <c r="B102" s="139"/>
      <c r="C102" s="140"/>
      <c r="D102" s="172"/>
      <c r="E102" s="172"/>
      <c r="F102" s="172"/>
      <c r="G102" s="63"/>
      <c r="H102" s="66"/>
      <c r="I102" s="214"/>
      <c r="J102" s="214"/>
      <c r="K102" s="215"/>
    </row>
    <row r="103" spans="2:11" x14ac:dyDescent="0.35">
      <c r="B103" s="139"/>
      <c r="C103" s="140"/>
      <c r="D103" s="172"/>
      <c r="E103" s="172"/>
      <c r="F103" s="172"/>
      <c r="G103" s="63"/>
      <c r="H103" s="66"/>
      <c r="I103" s="214"/>
      <c r="J103" s="214"/>
      <c r="K103" s="215"/>
    </row>
    <row r="104" spans="2:11" x14ac:dyDescent="0.35">
      <c r="B104" s="139"/>
      <c r="C104" s="140"/>
      <c r="D104" s="172"/>
      <c r="E104" s="172"/>
      <c r="F104" s="172"/>
      <c r="G104" s="63"/>
      <c r="H104" s="66"/>
      <c r="I104" s="214"/>
      <c r="J104" s="214"/>
      <c r="K104" s="215"/>
    </row>
    <row r="105" spans="2:11" x14ac:dyDescent="0.35">
      <c r="B105" s="139"/>
      <c r="C105" s="140"/>
      <c r="D105" s="172"/>
      <c r="E105" s="172"/>
      <c r="F105" s="172"/>
      <c r="G105" s="63"/>
      <c r="H105" s="66"/>
      <c r="I105" s="214"/>
      <c r="J105" s="214"/>
      <c r="K105" s="215"/>
    </row>
    <row r="106" spans="2:11" x14ac:dyDescent="0.35">
      <c r="B106" s="139"/>
      <c r="C106" s="140"/>
      <c r="D106" s="172"/>
      <c r="E106" s="172"/>
      <c r="F106" s="172"/>
      <c r="G106" s="63"/>
      <c r="H106" s="66"/>
      <c r="I106" s="214"/>
      <c r="J106" s="214"/>
      <c r="K106" s="215"/>
    </row>
    <row r="107" spans="2:11" x14ac:dyDescent="0.35">
      <c r="B107" s="139"/>
      <c r="C107" s="140"/>
      <c r="D107" s="172"/>
      <c r="E107" s="172"/>
      <c r="F107" s="172"/>
      <c r="G107" s="63"/>
      <c r="H107" s="66"/>
      <c r="I107" s="214"/>
      <c r="J107" s="214"/>
      <c r="K107" s="215"/>
    </row>
    <row r="108" spans="2:11" x14ac:dyDescent="0.35">
      <c r="B108" s="139"/>
      <c r="C108" s="140"/>
      <c r="D108" s="172"/>
      <c r="E108" s="172"/>
      <c r="F108" s="172"/>
      <c r="G108" s="63"/>
      <c r="H108" s="66"/>
      <c r="I108" s="214"/>
      <c r="J108" s="214"/>
      <c r="K108" s="215"/>
    </row>
    <row r="109" spans="2:11" x14ac:dyDescent="0.35">
      <c r="B109" s="139"/>
      <c r="C109" s="140"/>
      <c r="D109" s="172"/>
      <c r="E109" s="172"/>
      <c r="F109" s="172"/>
      <c r="G109" s="63"/>
      <c r="H109" s="66"/>
      <c r="I109" s="214"/>
      <c r="J109" s="214"/>
      <c r="K109" s="215"/>
    </row>
    <row r="110" spans="2:11" x14ac:dyDescent="0.35">
      <c r="B110" s="139"/>
      <c r="C110" s="140"/>
      <c r="D110" s="172"/>
      <c r="E110" s="172"/>
      <c r="F110" s="172"/>
      <c r="G110" s="63"/>
      <c r="H110" s="66"/>
      <c r="I110" s="214"/>
      <c r="J110" s="214"/>
      <c r="K110" s="215"/>
    </row>
    <row r="111" spans="2:11" x14ac:dyDescent="0.35">
      <c r="B111" s="139"/>
      <c r="C111" s="140"/>
      <c r="D111" s="172"/>
      <c r="E111" s="172"/>
      <c r="F111" s="172"/>
      <c r="G111" s="63"/>
      <c r="H111" s="66"/>
      <c r="I111" s="214"/>
      <c r="J111" s="214"/>
      <c r="K111" s="215"/>
    </row>
    <row r="112" spans="2:11" x14ac:dyDescent="0.35">
      <c r="B112" s="139"/>
      <c r="C112" s="140"/>
      <c r="D112" s="172"/>
      <c r="E112" s="172"/>
      <c r="F112" s="172"/>
      <c r="G112" s="63"/>
      <c r="H112" s="66"/>
      <c r="I112" s="214"/>
      <c r="J112" s="214"/>
      <c r="K112" s="215"/>
    </row>
    <row r="113" spans="2:11" x14ac:dyDescent="0.35">
      <c r="B113" s="139"/>
      <c r="C113" s="140"/>
      <c r="D113" s="172"/>
      <c r="E113" s="172"/>
      <c r="F113" s="172"/>
      <c r="G113" s="63"/>
      <c r="H113" s="66"/>
      <c r="I113" s="214"/>
      <c r="J113" s="214"/>
      <c r="K113" s="215"/>
    </row>
    <row r="114" spans="2:11" x14ac:dyDescent="0.35">
      <c r="B114" s="139"/>
      <c r="C114" s="140"/>
      <c r="D114" s="172"/>
      <c r="E114" s="172"/>
      <c r="F114" s="172"/>
      <c r="G114" s="63"/>
      <c r="H114" s="66"/>
      <c r="I114" s="214"/>
      <c r="J114" s="214"/>
      <c r="K114" s="215"/>
    </row>
    <row r="115" spans="2:11" x14ac:dyDescent="0.35">
      <c r="B115" s="139"/>
      <c r="C115" s="140"/>
      <c r="D115" s="172"/>
      <c r="E115" s="172"/>
      <c r="F115" s="172"/>
      <c r="G115" s="63"/>
      <c r="H115" s="66"/>
      <c r="I115" s="214"/>
      <c r="J115" s="214"/>
      <c r="K115" s="215"/>
    </row>
    <row r="116" spans="2:11" x14ac:dyDescent="0.35">
      <c r="B116" s="139"/>
      <c r="C116" s="140"/>
      <c r="D116" s="172"/>
      <c r="E116" s="172"/>
      <c r="F116" s="172"/>
      <c r="G116" s="63"/>
      <c r="H116" s="66"/>
      <c r="I116" s="214"/>
      <c r="J116" s="214"/>
      <c r="K116" s="215"/>
    </row>
    <row r="117" spans="2:11" x14ac:dyDescent="0.35">
      <c r="B117" s="139"/>
      <c r="C117" s="140"/>
      <c r="D117" s="172"/>
      <c r="E117" s="172"/>
      <c r="F117" s="172"/>
      <c r="G117" s="63"/>
      <c r="H117" s="66"/>
      <c r="I117" s="214"/>
      <c r="J117" s="214"/>
      <c r="K117" s="215"/>
    </row>
    <row r="118" spans="2:11" x14ac:dyDescent="0.35">
      <c r="B118" s="139"/>
      <c r="C118" s="140"/>
      <c r="D118" s="172"/>
      <c r="E118" s="172"/>
      <c r="F118" s="172"/>
      <c r="G118" s="63"/>
      <c r="H118" s="66"/>
      <c r="I118" s="214"/>
      <c r="J118" s="214"/>
      <c r="K118" s="215"/>
    </row>
    <row r="119" spans="2:11" x14ac:dyDescent="0.35">
      <c r="B119" s="139"/>
      <c r="C119" s="140"/>
      <c r="D119" s="172"/>
      <c r="E119" s="172"/>
      <c r="F119" s="172"/>
      <c r="G119" s="63"/>
      <c r="H119" s="66"/>
      <c r="I119" s="214"/>
      <c r="J119" s="214"/>
      <c r="K119" s="215"/>
    </row>
    <row r="120" spans="2:11" x14ac:dyDescent="0.35">
      <c r="B120" s="139"/>
      <c r="C120" s="140"/>
      <c r="D120" s="172"/>
      <c r="E120" s="172"/>
      <c r="F120" s="172"/>
      <c r="G120" s="63"/>
      <c r="H120" s="66"/>
      <c r="I120" s="214"/>
      <c r="J120" s="214"/>
      <c r="K120" s="215"/>
    </row>
    <row r="121" spans="2:11" x14ac:dyDescent="0.35">
      <c r="B121" s="139"/>
      <c r="C121" s="140"/>
      <c r="D121" s="172"/>
      <c r="E121" s="172"/>
      <c r="F121" s="172"/>
      <c r="G121" s="63"/>
      <c r="H121" s="66"/>
      <c r="I121" s="214"/>
      <c r="J121" s="214"/>
      <c r="K121" s="215"/>
    </row>
    <row r="122" spans="2:11" x14ac:dyDescent="0.35">
      <c r="B122" s="139"/>
      <c r="C122" s="140"/>
      <c r="D122" s="172"/>
      <c r="E122" s="172"/>
      <c r="F122" s="172"/>
      <c r="G122" s="63"/>
      <c r="H122" s="66"/>
      <c r="I122" s="214"/>
      <c r="J122" s="214"/>
      <c r="K122" s="215"/>
    </row>
    <row r="123" spans="2:11" x14ac:dyDescent="0.35">
      <c r="B123" s="139"/>
      <c r="C123" s="140"/>
      <c r="D123" s="172"/>
      <c r="E123" s="172"/>
      <c r="F123" s="172"/>
      <c r="G123" s="63"/>
      <c r="H123" s="66"/>
      <c r="I123" s="214"/>
      <c r="J123" s="214"/>
      <c r="K123" s="215"/>
    </row>
    <row r="124" spans="2:11" x14ac:dyDescent="0.35">
      <c r="B124" s="139"/>
      <c r="C124" s="140"/>
      <c r="D124" s="172"/>
      <c r="E124" s="172"/>
      <c r="F124" s="172"/>
      <c r="G124" s="63"/>
      <c r="H124" s="66"/>
      <c r="I124" s="214"/>
      <c r="J124" s="214"/>
      <c r="K124" s="215"/>
    </row>
    <row r="125" spans="2:11" x14ac:dyDescent="0.35">
      <c r="B125" s="139"/>
      <c r="C125" s="140"/>
      <c r="D125" s="172"/>
      <c r="E125" s="172"/>
      <c r="F125" s="172"/>
      <c r="G125" s="63"/>
      <c r="H125" s="66"/>
      <c r="I125" s="214"/>
      <c r="J125" s="214"/>
      <c r="K125" s="215"/>
    </row>
    <row r="126" spans="2:11" x14ac:dyDescent="0.35">
      <c r="B126" s="139"/>
      <c r="C126" s="140"/>
      <c r="D126" s="172"/>
      <c r="E126" s="172"/>
      <c r="F126" s="172"/>
      <c r="G126" s="63"/>
      <c r="H126" s="66"/>
      <c r="I126" s="214"/>
      <c r="J126" s="214"/>
      <c r="K126" s="215"/>
    </row>
    <row r="127" spans="2:11" x14ac:dyDescent="0.35">
      <c r="B127" s="139"/>
      <c r="C127" s="140"/>
      <c r="D127" s="172"/>
      <c r="E127" s="172"/>
      <c r="F127" s="172"/>
      <c r="G127" s="63"/>
      <c r="H127" s="66"/>
      <c r="I127" s="214"/>
      <c r="J127" s="214"/>
      <c r="K127" s="215"/>
    </row>
    <row r="128" spans="2:11" x14ac:dyDescent="0.35">
      <c r="B128" s="139"/>
      <c r="C128" s="140"/>
      <c r="D128" s="172"/>
      <c r="E128" s="172"/>
      <c r="F128" s="172"/>
      <c r="G128" s="63"/>
      <c r="H128" s="66"/>
      <c r="I128" s="214"/>
      <c r="J128" s="214"/>
      <c r="K128" s="215"/>
    </row>
    <row r="129" spans="2:11" x14ac:dyDescent="0.35">
      <c r="B129" s="139"/>
      <c r="C129" s="140"/>
      <c r="D129" s="172"/>
      <c r="E129" s="172"/>
      <c r="F129" s="172"/>
      <c r="G129" s="63"/>
      <c r="H129" s="66"/>
      <c r="I129" s="214"/>
      <c r="J129" s="214"/>
      <c r="K129" s="215"/>
    </row>
    <row r="130" spans="2:11" x14ac:dyDescent="0.35">
      <c r="B130" s="139"/>
      <c r="C130" s="140"/>
      <c r="D130" s="172"/>
      <c r="E130" s="172"/>
      <c r="F130" s="172"/>
      <c r="G130" s="63"/>
      <c r="H130" s="66"/>
      <c r="I130" s="214"/>
      <c r="J130" s="214"/>
      <c r="K130" s="215"/>
    </row>
    <row r="131" spans="2:11" x14ac:dyDescent="0.35">
      <c r="B131" s="139"/>
      <c r="C131" s="140"/>
      <c r="D131" s="172"/>
      <c r="E131" s="172"/>
      <c r="F131" s="172"/>
      <c r="G131" s="63"/>
      <c r="H131" s="66"/>
      <c r="I131" s="214"/>
      <c r="J131" s="214"/>
      <c r="K131" s="215"/>
    </row>
    <row r="132" spans="2:11" x14ac:dyDescent="0.35">
      <c r="B132" s="139"/>
      <c r="C132" s="140"/>
      <c r="D132" s="172"/>
      <c r="E132" s="172"/>
      <c r="F132" s="172"/>
      <c r="G132" s="63"/>
      <c r="H132" s="66"/>
      <c r="I132" s="214"/>
      <c r="J132" s="214"/>
      <c r="K132" s="215"/>
    </row>
    <row r="133" spans="2:11" x14ac:dyDescent="0.35">
      <c r="B133" s="139"/>
      <c r="C133" s="140"/>
      <c r="D133" s="172"/>
      <c r="E133" s="172"/>
      <c r="F133" s="172"/>
      <c r="G133" s="63"/>
      <c r="H133" s="66"/>
      <c r="I133" s="214"/>
      <c r="J133" s="214"/>
      <c r="K133" s="215"/>
    </row>
    <row r="134" spans="2:11" x14ac:dyDescent="0.35">
      <c r="B134" s="139"/>
      <c r="C134" s="140"/>
      <c r="D134" s="172"/>
      <c r="E134" s="172"/>
      <c r="F134" s="172"/>
      <c r="G134" s="63"/>
      <c r="H134" s="66"/>
      <c r="I134" s="214"/>
      <c r="J134" s="214"/>
      <c r="K134" s="215"/>
    </row>
    <row r="135" spans="2:11" x14ac:dyDescent="0.35">
      <c r="B135" s="139"/>
      <c r="C135" s="140"/>
      <c r="D135" s="172"/>
      <c r="E135" s="172"/>
      <c r="F135" s="172"/>
      <c r="G135" s="63"/>
      <c r="H135" s="66"/>
      <c r="I135" s="214"/>
      <c r="J135" s="214"/>
      <c r="K135" s="215"/>
    </row>
    <row r="136" spans="2:11" x14ac:dyDescent="0.35">
      <c r="B136" s="139"/>
      <c r="C136" s="140"/>
      <c r="D136" s="172"/>
      <c r="E136" s="172"/>
      <c r="F136" s="172"/>
      <c r="G136" s="63"/>
      <c r="H136" s="66"/>
      <c r="I136" s="214"/>
      <c r="J136" s="214"/>
      <c r="K136" s="215"/>
    </row>
    <row r="137" spans="2:11" x14ac:dyDescent="0.35">
      <c r="B137" s="139"/>
      <c r="C137" s="140"/>
      <c r="D137" s="172"/>
      <c r="E137" s="172"/>
      <c r="F137" s="172"/>
      <c r="G137" s="63"/>
      <c r="H137" s="66"/>
      <c r="I137" s="214"/>
      <c r="J137" s="214"/>
      <c r="K137" s="215"/>
    </row>
    <row r="138" spans="2:11" x14ac:dyDescent="0.35">
      <c r="B138" s="139"/>
      <c r="C138" s="140"/>
      <c r="D138" s="172"/>
      <c r="E138" s="172"/>
      <c r="F138" s="172"/>
      <c r="G138" s="63"/>
      <c r="H138" s="66"/>
      <c r="I138" s="214"/>
      <c r="J138" s="214"/>
      <c r="K138" s="215"/>
    </row>
    <row r="139" spans="2:11" x14ac:dyDescent="0.35">
      <c r="B139" s="139"/>
      <c r="C139" s="140"/>
      <c r="D139" s="172"/>
      <c r="E139" s="172"/>
      <c r="F139" s="172"/>
      <c r="G139" s="63"/>
      <c r="H139" s="66"/>
      <c r="I139" s="214"/>
      <c r="J139" s="214"/>
      <c r="K139" s="215"/>
    </row>
    <row r="140" spans="2:11" x14ac:dyDescent="0.35">
      <c r="B140" s="139"/>
      <c r="C140" s="140"/>
      <c r="D140" s="172"/>
      <c r="E140" s="172"/>
      <c r="F140" s="172"/>
      <c r="G140" s="63"/>
      <c r="H140" s="66"/>
      <c r="I140" s="214"/>
      <c r="J140" s="214"/>
      <c r="K140" s="215"/>
    </row>
    <row r="141" spans="2:11" x14ac:dyDescent="0.35">
      <c r="B141" s="139"/>
      <c r="C141" s="140"/>
      <c r="D141" s="172"/>
      <c r="E141" s="172"/>
      <c r="F141" s="172"/>
      <c r="G141" s="63"/>
      <c r="H141" s="66"/>
      <c r="I141" s="214"/>
      <c r="J141" s="214"/>
      <c r="K141" s="215"/>
    </row>
    <row r="142" spans="2:11" x14ac:dyDescent="0.35">
      <c r="B142" s="139"/>
      <c r="C142" s="140"/>
      <c r="D142" s="172"/>
      <c r="E142" s="172"/>
      <c r="F142" s="172"/>
      <c r="G142" s="63"/>
      <c r="H142" s="66"/>
      <c r="I142" s="214"/>
      <c r="J142" s="214"/>
      <c r="K142" s="215"/>
    </row>
    <row r="143" spans="2:11" x14ac:dyDescent="0.35">
      <c r="B143" s="139"/>
      <c r="C143" s="140"/>
      <c r="D143" s="172"/>
      <c r="E143" s="172"/>
      <c r="F143" s="172"/>
      <c r="G143" s="63"/>
      <c r="H143" s="66"/>
      <c r="I143" s="214"/>
      <c r="J143" s="214"/>
      <c r="K143" s="215"/>
    </row>
    <row r="144" spans="2:11" x14ac:dyDescent="0.35">
      <c r="B144" s="139"/>
      <c r="C144" s="140"/>
      <c r="D144" s="172"/>
      <c r="E144" s="172"/>
      <c r="F144" s="172"/>
      <c r="G144" s="63"/>
      <c r="H144" s="66"/>
      <c r="I144" s="214"/>
      <c r="J144" s="214"/>
      <c r="K144" s="215"/>
    </row>
    <row r="145" spans="2:11" x14ac:dyDescent="0.35">
      <c r="B145" s="139"/>
      <c r="C145" s="140"/>
      <c r="D145" s="172"/>
      <c r="E145" s="172"/>
      <c r="F145" s="172"/>
      <c r="G145" s="63"/>
      <c r="H145" s="66"/>
      <c r="I145" s="214"/>
      <c r="J145" s="214"/>
      <c r="K145" s="215"/>
    </row>
    <row r="146" spans="2:11" x14ac:dyDescent="0.35">
      <c r="B146" s="139"/>
      <c r="C146" s="140"/>
      <c r="D146" s="172"/>
      <c r="E146" s="172"/>
      <c r="F146" s="172"/>
      <c r="G146" s="63"/>
      <c r="H146" s="66"/>
      <c r="I146" s="214"/>
      <c r="J146" s="214"/>
      <c r="K146" s="215"/>
    </row>
    <row r="147" spans="2:11" x14ac:dyDescent="0.35">
      <c r="B147" s="139"/>
      <c r="C147" s="140"/>
      <c r="D147" s="172"/>
      <c r="E147" s="172"/>
      <c r="F147" s="172"/>
      <c r="G147" s="63"/>
      <c r="H147" s="66"/>
      <c r="I147" s="214"/>
      <c r="J147" s="214"/>
      <c r="K147" s="215"/>
    </row>
    <row r="148" spans="2:11" x14ac:dyDescent="0.35">
      <c r="B148" s="139"/>
      <c r="C148" s="140"/>
      <c r="D148" s="172"/>
      <c r="E148" s="172"/>
      <c r="F148" s="172"/>
      <c r="G148" s="63"/>
      <c r="H148" s="66"/>
      <c r="I148" s="214"/>
      <c r="J148" s="214"/>
      <c r="K148" s="215"/>
    </row>
    <row r="149" spans="2:11" x14ac:dyDescent="0.35">
      <c r="B149" s="139"/>
      <c r="C149" s="140"/>
      <c r="D149" s="172"/>
      <c r="E149" s="172"/>
      <c r="F149" s="172"/>
      <c r="G149" s="63"/>
      <c r="H149" s="66"/>
      <c r="I149" s="214"/>
      <c r="J149" s="214"/>
      <c r="K149" s="215"/>
    </row>
    <row r="150" spans="2:11" x14ac:dyDescent="0.35">
      <c r="B150" s="139"/>
      <c r="C150" s="140"/>
      <c r="D150" s="172"/>
      <c r="E150" s="172"/>
      <c r="F150" s="172"/>
      <c r="G150" s="63"/>
      <c r="H150" s="66"/>
      <c r="I150" s="214"/>
      <c r="J150" s="214"/>
      <c r="K150" s="215"/>
    </row>
    <row r="151" spans="2:11" x14ac:dyDescent="0.35">
      <c r="B151" s="139"/>
      <c r="C151" s="140"/>
      <c r="D151" s="172"/>
      <c r="E151" s="172"/>
      <c r="F151" s="172"/>
      <c r="G151" s="63"/>
      <c r="H151" s="66"/>
      <c r="I151" s="214"/>
      <c r="J151" s="214"/>
      <c r="K151" s="215"/>
    </row>
    <row r="152" spans="2:11" x14ac:dyDescent="0.35">
      <c r="B152" s="139"/>
      <c r="C152" s="140"/>
      <c r="D152" s="172"/>
      <c r="E152" s="172"/>
      <c r="F152" s="172"/>
      <c r="G152" s="63"/>
      <c r="H152" s="66"/>
      <c r="I152" s="214"/>
      <c r="J152" s="214"/>
      <c r="K152" s="215"/>
    </row>
    <row r="153" spans="2:11" x14ac:dyDescent="0.35">
      <c r="B153" s="139"/>
      <c r="C153" s="140"/>
      <c r="D153" s="172"/>
      <c r="E153" s="172"/>
      <c r="F153" s="172"/>
      <c r="G153" s="63"/>
      <c r="H153" s="66"/>
      <c r="I153" s="214"/>
      <c r="J153" s="214"/>
      <c r="K153" s="215"/>
    </row>
    <row r="154" spans="2:11" x14ac:dyDescent="0.35">
      <c r="B154" s="139"/>
      <c r="C154" s="140"/>
      <c r="D154" s="172"/>
      <c r="E154" s="172"/>
      <c r="F154" s="172"/>
      <c r="G154" s="63"/>
      <c r="H154" s="66"/>
      <c r="I154" s="214"/>
      <c r="J154" s="214"/>
      <c r="K154" s="215"/>
    </row>
    <row r="155" spans="2:11" x14ac:dyDescent="0.35">
      <c r="B155" s="139"/>
      <c r="C155" s="140"/>
      <c r="D155" s="172"/>
      <c r="E155" s="172"/>
      <c r="F155" s="172"/>
      <c r="G155" s="63"/>
      <c r="H155" s="66"/>
      <c r="I155" s="214"/>
      <c r="J155" s="214"/>
      <c r="K155" s="215"/>
    </row>
    <row r="156" spans="2:11" x14ac:dyDescent="0.35">
      <c r="B156" s="139"/>
      <c r="C156" s="140"/>
      <c r="D156" s="172"/>
      <c r="E156" s="172"/>
      <c r="F156" s="172"/>
      <c r="G156" s="63"/>
      <c r="H156" s="66"/>
      <c r="I156" s="214"/>
      <c r="J156" s="214"/>
      <c r="K156" s="215"/>
    </row>
    <row r="157" spans="2:11" x14ac:dyDescent="0.35">
      <c r="B157" s="139"/>
      <c r="C157" s="140"/>
      <c r="D157" s="172"/>
      <c r="E157" s="172"/>
      <c r="F157" s="172"/>
      <c r="G157" s="63"/>
      <c r="H157" s="66"/>
      <c r="I157" s="214"/>
      <c r="J157" s="214"/>
      <c r="K157" s="215"/>
    </row>
    <row r="158" spans="2:11" x14ac:dyDescent="0.35">
      <c r="B158" s="139"/>
      <c r="C158" s="140"/>
      <c r="D158" s="172"/>
      <c r="E158" s="172"/>
      <c r="F158" s="172"/>
      <c r="G158" s="63"/>
      <c r="H158" s="66"/>
      <c r="I158" s="214"/>
      <c r="J158" s="214"/>
      <c r="K158" s="215"/>
    </row>
    <row r="159" spans="2:11" x14ac:dyDescent="0.35">
      <c r="B159" s="139"/>
      <c r="C159" s="140"/>
      <c r="D159" s="172"/>
      <c r="E159" s="172"/>
      <c r="F159" s="172"/>
      <c r="G159" s="63"/>
      <c r="H159" s="66"/>
      <c r="I159" s="214"/>
      <c r="J159" s="214"/>
      <c r="K159" s="215"/>
    </row>
    <row r="160" spans="2:11" x14ac:dyDescent="0.35">
      <c r="B160" s="139"/>
      <c r="C160" s="140"/>
      <c r="D160" s="172"/>
      <c r="E160" s="172"/>
      <c r="F160" s="172"/>
      <c r="G160" s="63"/>
      <c r="H160" s="66"/>
      <c r="I160" s="214"/>
      <c r="J160" s="214"/>
      <c r="K160" s="215"/>
    </row>
    <row r="161" spans="2:11" x14ac:dyDescent="0.35">
      <c r="B161" s="139"/>
      <c r="C161" s="140"/>
      <c r="D161" s="172"/>
      <c r="E161" s="172"/>
      <c r="F161" s="172"/>
      <c r="G161" s="63"/>
      <c r="H161" s="66"/>
      <c r="I161" s="214"/>
      <c r="J161" s="214"/>
      <c r="K161" s="215"/>
    </row>
    <row r="162" spans="2:11" x14ac:dyDescent="0.35">
      <c r="B162" s="139"/>
      <c r="C162" s="140"/>
      <c r="D162" s="172"/>
      <c r="E162" s="172"/>
      <c r="F162" s="172"/>
      <c r="G162" s="63"/>
      <c r="H162" s="66"/>
      <c r="I162" s="214"/>
      <c r="J162" s="214"/>
      <c r="K162" s="215"/>
    </row>
    <row r="163" spans="2:11" x14ac:dyDescent="0.35">
      <c r="B163" s="139"/>
      <c r="C163" s="140"/>
      <c r="D163" s="172"/>
      <c r="E163" s="172"/>
      <c r="F163" s="172"/>
      <c r="G163" s="63"/>
      <c r="H163" s="66"/>
      <c r="I163" s="214"/>
      <c r="J163" s="214"/>
      <c r="K163" s="215"/>
    </row>
    <row r="164" spans="2:11" x14ac:dyDescent="0.35">
      <c r="B164" s="139"/>
      <c r="C164" s="140"/>
      <c r="D164" s="172"/>
      <c r="E164" s="172"/>
      <c r="F164" s="172"/>
      <c r="G164" s="63"/>
      <c r="H164" s="66"/>
      <c r="I164" s="214"/>
      <c r="J164" s="214"/>
      <c r="K164" s="215"/>
    </row>
    <row r="165" spans="2:11" x14ac:dyDescent="0.35">
      <c r="B165" s="139"/>
      <c r="C165" s="140"/>
      <c r="D165" s="172"/>
      <c r="E165" s="172"/>
      <c r="F165" s="172"/>
      <c r="G165" s="63"/>
      <c r="H165" s="66"/>
      <c r="I165" s="214"/>
      <c r="J165" s="214"/>
      <c r="K165" s="215"/>
    </row>
    <row r="166" spans="2:11" x14ac:dyDescent="0.35">
      <c r="B166" s="139"/>
      <c r="C166" s="140"/>
      <c r="D166" s="172"/>
      <c r="E166" s="172"/>
      <c r="F166" s="172"/>
      <c r="G166" s="63"/>
      <c r="H166" s="66"/>
      <c r="I166" s="214"/>
      <c r="J166" s="214"/>
      <c r="K166" s="215"/>
    </row>
    <row r="167" spans="2:11" x14ac:dyDescent="0.35">
      <c r="B167" s="139"/>
      <c r="C167" s="140"/>
      <c r="D167" s="172"/>
      <c r="E167" s="172"/>
      <c r="F167" s="172"/>
      <c r="G167" s="63"/>
      <c r="H167" s="66"/>
      <c r="I167" s="214"/>
      <c r="J167" s="214"/>
      <c r="K167" s="215"/>
    </row>
    <row r="168" spans="2:11" x14ac:dyDescent="0.35">
      <c r="B168" s="139"/>
      <c r="C168" s="140"/>
      <c r="D168" s="172"/>
      <c r="E168" s="172"/>
      <c r="F168" s="172"/>
      <c r="G168" s="63"/>
      <c r="H168" s="66"/>
      <c r="I168" s="214"/>
      <c r="J168" s="214"/>
      <c r="K168" s="215"/>
    </row>
    <row r="169" spans="2:11" x14ac:dyDescent="0.35">
      <c r="B169" s="139"/>
      <c r="C169" s="140"/>
      <c r="D169" s="172"/>
      <c r="E169" s="172"/>
      <c r="F169" s="172"/>
      <c r="G169" s="63"/>
      <c r="H169" s="66"/>
      <c r="I169" s="214"/>
      <c r="J169" s="214"/>
      <c r="K169" s="215"/>
    </row>
    <row r="170" spans="2:11" x14ac:dyDescent="0.35">
      <c r="B170" s="139"/>
      <c r="C170" s="140"/>
      <c r="D170" s="172"/>
      <c r="E170" s="172"/>
      <c r="F170" s="172"/>
      <c r="G170" s="63"/>
      <c r="H170" s="66"/>
      <c r="I170" s="214"/>
      <c r="J170" s="214"/>
      <c r="K170" s="215"/>
    </row>
    <row r="171" spans="2:11" x14ac:dyDescent="0.35">
      <c r="B171" s="139"/>
      <c r="C171" s="140"/>
      <c r="D171" s="172"/>
      <c r="E171" s="172"/>
      <c r="F171" s="172"/>
      <c r="G171" s="63"/>
      <c r="H171" s="66"/>
      <c r="I171" s="214"/>
      <c r="J171" s="214"/>
      <c r="K171" s="215"/>
    </row>
    <row r="172" spans="2:11" x14ac:dyDescent="0.35">
      <c r="B172" s="139"/>
      <c r="C172" s="140"/>
      <c r="D172" s="172"/>
      <c r="E172" s="172"/>
      <c r="F172" s="172"/>
      <c r="G172" s="63"/>
      <c r="H172" s="66"/>
      <c r="I172" s="214"/>
      <c r="J172" s="214"/>
      <c r="K172" s="215"/>
    </row>
    <row r="173" spans="2:11" x14ac:dyDescent="0.35">
      <c r="B173" s="139"/>
      <c r="C173" s="140"/>
      <c r="D173" s="172"/>
      <c r="E173" s="172"/>
      <c r="F173" s="172"/>
      <c r="G173" s="63"/>
      <c r="H173" s="66"/>
      <c r="I173" s="214"/>
      <c r="J173" s="214"/>
      <c r="K173" s="215"/>
    </row>
    <row r="174" spans="2:11" x14ac:dyDescent="0.35">
      <c r="B174" s="139"/>
      <c r="C174" s="140"/>
      <c r="D174" s="172"/>
      <c r="E174" s="172"/>
      <c r="F174" s="172"/>
      <c r="G174" s="63"/>
      <c r="H174" s="66"/>
      <c r="I174" s="214"/>
      <c r="J174" s="214"/>
      <c r="K174" s="215"/>
    </row>
    <row r="175" spans="2:11" x14ac:dyDescent="0.35">
      <c r="B175" s="139"/>
      <c r="C175" s="140"/>
      <c r="D175" s="172"/>
      <c r="E175" s="172"/>
      <c r="F175" s="172"/>
      <c r="G175" s="63"/>
      <c r="H175" s="66"/>
      <c r="I175" s="214"/>
      <c r="J175" s="214"/>
      <c r="K175" s="215"/>
    </row>
    <row r="176" spans="2:11" x14ac:dyDescent="0.35">
      <c r="B176" s="139"/>
      <c r="C176" s="140"/>
      <c r="D176" s="172"/>
      <c r="E176" s="172"/>
      <c r="F176" s="172"/>
      <c r="G176" s="63"/>
      <c r="H176" s="66"/>
      <c r="I176" s="214"/>
      <c r="J176" s="214"/>
      <c r="K176" s="215"/>
    </row>
    <row r="177" spans="2:11" x14ac:dyDescent="0.35">
      <c r="B177" s="139"/>
      <c r="C177" s="140"/>
      <c r="D177" s="172"/>
      <c r="E177" s="172"/>
      <c r="F177" s="172"/>
      <c r="G177" s="63"/>
      <c r="H177" s="66"/>
      <c r="I177" s="214"/>
      <c r="J177" s="214"/>
      <c r="K177" s="215"/>
    </row>
    <row r="178" spans="2:11" x14ac:dyDescent="0.35">
      <c r="B178" s="139"/>
      <c r="C178" s="140"/>
      <c r="D178" s="172"/>
      <c r="E178" s="172"/>
      <c r="F178" s="172"/>
      <c r="G178" s="63"/>
      <c r="H178" s="66"/>
      <c r="I178" s="214"/>
      <c r="J178" s="214"/>
      <c r="K178" s="215"/>
    </row>
    <row r="179" spans="2:11" x14ac:dyDescent="0.35">
      <c r="B179" s="139"/>
      <c r="C179" s="140"/>
      <c r="D179" s="172"/>
      <c r="E179" s="172"/>
      <c r="F179" s="172"/>
      <c r="G179" s="63"/>
      <c r="H179" s="66"/>
      <c r="I179" s="214"/>
      <c r="J179" s="214"/>
      <c r="K179" s="215"/>
    </row>
    <row r="180" spans="2:11" x14ac:dyDescent="0.35">
      <c r="B180" s="139"/>
      <c r="C180" s="140"/>
      <c r="D180" s="172"/>
      <c r="E180" s="172"/>
      <c r="F180" s="172"/>
      <c r="G180" s="63"/>
      <c r="H180" s="66"/>
      <c r="I180" s="214"/>
      <c r="J180" s="214"/>
      <c r="K180" s="215"/>
    </row>
    <row r="181" spans="2:11" x14ac:dyDescent="0.35">
      <c r="B181" s="139"/>
      <c r="C181" s="140"/>
      <c r="D181" s="172"/>
      <c r="E181" s="172"/>
      <c r="F181" s="172"/>
      <c r="G181" s="63"/>
      <c r="H181" s="66"/>
      <c r="I181" s="214"/>
      <c r="J181" s="214"/>
      <c r="K181" s="215"/>
    </row>
    <row r="182" spans="2:11" x14ac:dyDescent="0.35">
      <c r="B182" s="139"/>
      <c r="C182" s="140"/>
      <c r="D182" s="172"/>
      <c r="E182" s="172"/>
      <c r="F182" s="172"/>
      <c r="G182" s="63"/>
      <c r="H182" s="66"/>
      <c r="I182" s="214"/>
      <c r="J182" s="214"/>
      <c r="K182" s="215"/>
    </row>
    <row r="183" spans="2:11" x14ac:dyDescent="0.35">
      <c r="B183" s="139"/>
      <c r="C183" s="140"/>
      <c r="D183" s="172"/>
      <c r="E183" s="172"/>
      <c r="F183" s="172"/>
      <c r="G183" s="63"/>
      <c r="H183" s="66"/>
      <c r="I183" s="214"/>
      <c r="J183" s="214"/>
      <c r="K183" s="215"/>
    </row>
    <row r="184" spans="2:11" x14ac:dyDescent="0.35">
      <c r="B184" s="139"/>
      <c r="C184" s="140"/>
      <c r="D184" s="172"/>
      <c r="E184" s="172"/>
      <c r="F184" s="172"/>
      <c r="G184" s="63"/>
      <c r="H184" s="66"/>
      <c r="I184" s="214"/>
      <c r="J184" s="214"/>
      <c r="K184" s="215"/>
    </row>
    <row r="185" spans="2:11" x14ac:dyDescent="0.35">
      <c r="B185" s="139"/>
      <c r="C185" s="140"/>
      <c r="D185" s="172"/>
      <c r="E185" s="172"/>
      <c r="F185" s="172"/>
      <c r="G185" s="63"/>
      <c r="H185" s="66"/>
      <c r="I185" s="214"/>
      <c r="J185" s="214"/>
      <c r="K185" s="215"/>
    </row>
    <row r="186" spans="2:11" x14ac:dyDescent="0.35">
      <c r="B186" s="139"/>
      <c r="C186" s="140"/>
      <c r="D186" s="172"/>
      <c r="E186" s="172"/>
      <c r="F186" s="172"/>
      <c r="G186" s="63"/>
      <c r="H186" s="66"/>
      <c r="I186" s="214"/>
      <c r="J186" s="214"/>
      <c r="K186" s="215"/>
    </row>
    <row r="187" spans="2:11" x14ac:dyDescent="0.35">
      <c r="B187" s="139"/>
      <c r="C187" s="140"/>
      <c r="D187" s="172"/>
      <c r="E187" s="172"/>
      <c r="F187" s="172"/>
      <c r="G187" s="63"/>
      <c r="H187" s="66"/>
      <c r="I187" s="214"/>
      <c r="J187" s="214"/>
      <c r="K187" s="215"/>
    </row>
    <row r="188" spans="2:11" x14ac:dyDescent="0.35">
      <c r="B188" s="139"/>
      <c r="C188" s="140"/>
      <c r="D188" s="172"/>
      <c r="E188" s="172"/>
      <c r="F188" s="172"/>
      <c r="G188" s="63"/>
      <c r="H188" s="66"/>
      <c r="I188" s="214"/>
      <c r="J188" s="214"/>
      <c r="K188" s="215"/>
    </row>
    <row r="189" spans="2:11" x14ac:dyDescent="0.35">
      <c r="B189" s="139"/>
      <c r="C189" s="140"/>
      <c r="D189" s="172"/>
      <c r="E189" s="172"/>
      <c r="F189" s="172"/>
      <c r="G189" s="63"/>
      <c r="H189" s="66"/>
      <c r="I189" s="214"/>
      <c r="J189" s="214"/>
      <c r="K189" s="215"/>
    </row>
    <row r="190" spans="2:11" x14ac:dyDescent="0.35">
      <c r="B190" s="139"/>
      <c r="C190" s="140"/>
      <c r="D190" s="172"/>
      <c r="E190" s="172"/>
      <c r="F190" s="172"/>
      <c r="G190" s="63"/>
      <c r="H190" s="66"/>
      <c r="I190" s="214"/>
      <c r="J190" s="214"/>
      <c r="K190" s="215"/>
    </row>
    <row r="191" spans="2:11" x14ac:dyDescent="0.35">
      <c r="B191" s="139"/>
      <c r="C191" s="140"/>
      <c r="D191" s="172"/>
      <c r="E191" s="172"/>
      <c r="F191" s="172"/>
      <c r="G191" s="63"/>
      <c r="H191" s="66"/>
      <c r="I191" s="214"/>
      <c r="J191" s="214"/>
      <c r="K191" s="215"/>
    </row>
    <row r="192" spans="2:11" x14ac:dyDescent="0.35">
      <c r="B192" s="139"/>
      <c r="C192" s="140"/>
      <c r="D192" s="172"/>
      <c r="E192" s="172"/>
      <c r="F192" s="172"/>
      <c r="G192" s="63"/>
      <c r="H192" s="66"/>
      <c r="I192" s="214"/>
      <c r="J192" s="214"/>
      <c r="K192" s="215"/>
    </row>
    <row r="193" spans="2:11" x14ac:dyDescent="0.35">
      <c r="B193" s="139"/>
      <c r="C193" s="140"/>
      <c r="D193" s="172"/>
      <c r="E193" s="172"/>
      <c r="F193" s="172"/>
      <c r="G193" s="63"/>
      <c r="H193" s="66"/>
      <c r="I193" s="214"/>
      <c r="J193" s="214"/>
      <c r="K193" s="215"/>
    </row>
    <row r="194" spans="2:11" x14ac:dyDescent="0.35">
      <c r="B194" s="139"/>
      <c r="C194" s="140"/>
      <c r="D194" s="172"/>
      <c r="E194" s="172"/>
      <c r="F194" s="172"/>
      <c r="G194" s="63"/>
      <c r="H194" s="66"/>
      <c r="I194" s="214"/>
      <c r="J194" s="214"/>
      <c r="K194" s="215"/>
    </row>
    <row r="195" spans="2:11" x14ac:dyDescent="0.35">
      <c r="B195" s="139"/>
      <c r="C195" s="140"/>
      <c r="D195" s="172"/>
      <c r="E195" s="172"/>
      <c r="F195" s="172"/>
      <c r="G195" s="63"/>
      <c r="H195" s="66"/>
      <c r="I195" s="214"/>
      <c r="J195" s="214"/>
      <c r="K195" s="215"/>
    </row>
    <row r="196" spans="2:11" x14ac:dyDescent="0.35">
      <c r="B196" s="139"/>
      <c r="C196" s="140"/>
      <c r="D196" s="172"/>
      <c r="E196" s="172"/>
      <c r="F196" s="172"/>
      <c r="G196" s="63"/>
      <c r="H196" s="66"/>
      <c r="I196" s="214"/>
      <c r="J196" s="214"/>
      <c r="K196" s="215"/>
    </row>
    <row r="197" spans="2:11" x14ac:dyDescent="0.35">
      <c r="B197" s="139"/>
      <c r="C197" s="140"/>
      <c r="D197" s="172"/>
      <c r="E197" s="172"/>
      <c r="F197" s="172"/>
      <c r="G197" s="63"/>
      <c r="H197" s="66"/>
      <c r="I197" s="214"/>
      <c r="J197" s="214"/>
      <c r="K197" s="215"/>
    </row>
    <row r="198" spans="2:11" x14ac:dyDescent="0.35">
      <c r="B198" s="139"/>
      <c r="C198" s="140"/>
      <c r="D198" s="172"/>
      <c r="E198" s="172"/>
      <c r="F198" s="172"/>
      <c r="G198" s="63"/>
      <c r="H198" s="66"/>
      <c r="I198" s="214"/>
      <c r="J198" s="214"/>
      <c r="K198" s="215"/>
    </row>
    <row r="199" spans="2:11" x14ac:dyDescent="0.35">
      <c r="B199" s="139"/>
      <c r="C199" s="140"/>
      <c r="D199" s="172"/>
      <c r="E199" s="172"/>
      <c r="F199" s="172"/>
      <c r="G199" s="63"/>
      <c r="H199" s="66"/>
      <c r="I199" s="214"/>
      <c r="J199" s="214"/>
      <c r="K199" s="215"/>
    </row>
    <row r="200" spans="2:11" x14ac:dyDescent="0.35">
      <c r="B200" s="139"/>
      <c r="C200" s="140"/>
      <c r="D200" s="172"/>
      <c r="E200" s="172"/>
      <c r="F200" s="172"/>
      <c r="G200" s="63"/>
      <c r="H200" s="66"/>
      <c r="I200" s="214"/>
      <c r="J200" s="214"/>
      <c r="K200" s="215"/>
    </row>
    <row r="201" spans="2:11" x14ac:dyDescent="0.35">
      <c r="B201" s="139"/>
      <c r="C201" s="140"/>
      <c r="D201" s="172"/>
      <c r="E201" s="172"/>
      <c r="F201" s="172"/>
      <c r="G201" s="63"/>
      <c r="H201" s="66"/>
      <c r="I201" s="214"/>
      <c r="J201" s="214"/>
      <c r="K201" s="215"/>
    </row>
    <row r="202" spans="2:11" x14ac:dyDescent="0.35">
      <c r="B202" s="139"/>
      <c r="C202" s="140"/>
      <c r="D202" s="172"/>
      <c r="E202" s="172"/>
      <c r="F202" s="172"/>
      <c r="G202" s="63"/>
      <c r="H202" s="66"/>
      <c r="I202" s="214"/>
      <c r="J202" s="214"/>
      <c r="K202" s="215"/>
    </row>
    <row r="203" spans="2:11" x14ac:dyDescent="0.35">
      <c r="B203" s="139"/>
      <c r="C203" s="140"/>
      <c r="D203" s="172"/>
      <c r="E203" s="172"/>
      <c r="F203" s="172"/>
      <c r="G203" s="63"/>
      <c r="H203" s="66"/>
      <c r="I203" s="214"/>
      <c r="J203" s="214"/>
      <c r="K203" s="215"/>
    </row>
    <row r="204" spans="2:11" x14ac:dyDescent="0.35">
      <c r="B204" s="139"/>
      <c r="C204" s="140"/>
      <c r="D204" s="172"/>
      <c r="E204" s="172"/>
      <c r="F204" s="172"/>
      <c r="G204" s="63"/>
      <c r="H204" s="66"/>
      <c r="I204" s="214"/>
      <c r="J204" s="214"/>
      <c r="K204" s="215"/>
    </row>
    <row r="205" spans="2:11" x14ac:dyDescent="0.35">
      <c r="B205" s="139"/>
      <c r="C205" s="140"/>
      <c r="D205" s="172"/>
      <c r="E205" s="172"/>
      <c r="F205" s="172"/>
      <c r="G205" s="63"/>
      <c r="H205" s="66"/>
      <c r="I205" s="214"/>
      <c r="J205" s="214"/>
      <c r="K205" s="215"/>
    </row>
    <row r="206" spans="2:11" x14ac:dyDescent="0.35">
      <c r="B206" s="139"/>
      <c r="C206" s="140"/>
      <c r="D206" s="172"/>
      <c r="E206" s="172"/>
      <c r="F206" s="172"/>
      <c r="G206" s="63"/>
      <c r="H206" s="66"/>
      <c r="I206" s="214"/>
      <c r="J206" s="214"/>
      <c r="K206" s="215"/>
    </row>
    <row r="207" spans="2:11" x14ac:dyDescent="0.35">
      <c r="B207" s="139"/>
      <c r="C207" s="140"/>
      <c r="D207" s="172"/>
      <c r="E207" s="172"/>
      <c r="F207" s="172"/>
      <c r="G207" s="63"/>
      <c r="H207" s="66"/>
      <c r="I207" s="214"/>
      <c r="J207" s="214"/>
      <c r="K207" s="215"/>
    </row>
    <row r="208" spans="2:11" x14ac:dyDescent="0.35">
      <c r="B208" s="139"/>
      <c r="C208" s="140"/>
      <c r="D208" s="172"/>
      <c r="E208" s="172"/>
      <c r="F208" s="172"/>
      <c r="G208" s="63"/>
      <c r="H208" s="66"/>
      <c r="I208" s="214"/>
      <c r="J208" s="214"/>
      <c r="K208" s="215"/>
    </row>
    <row r="209" spans="2:11" x14ac:dyDescent="0.35">
      <c r="B209" s="139"/>
      <c r="C209" s="140"/>
      <c r="D209" s="172"/>
      <c r="E209" s="172"/>
      <c r="F209" s="172"/>
      <c r="G209" s="63"/>
      <c r="H209" s="66"/>
      <c r="I209" s="214"/>
      <c r="J209" s="214"/>
      <c r="K209" s="215"/>
    </row>
    <row r="210" spans="2:11" x14ac:dyDescent="0.35">
      <c r="B210" s="139"/>
      <c r="C210" s="140"/>
      <c r="D210" s="172"/>
      <c r="E210" s="172"/>
      <c r="F210" s="172"/>
      <c r="G210" s="63"/>
      <c r="H210" s="66"/>
      <c r="I210" s="214"/>
      <c r="J210" s="214"/>
      <c r="K210" s="215"/>
    </row>
    <row r="211" spans="2:11" x14ac:dyDescent="0.35">
      <c r="B211" s="139"/>
      <c r="C211" s="140"/>
      <c r="D211" s="172"/>
      <c r="E211" s="172"/>
      <c r="F211" s="172"/>
      <c r="G211" s="63"/>
      <c r="H211" s="66"/>
      <c r="I211" s="214"/>
      <c r="J211" s="214"/>
      <c r="K211" s="215"/>
    </row>
    <row r="212" spans="2:11" x14ac:dyDescent="0.35">
      <c r="B212" s="139"/>
      <c r="C212" s="140"/>
      <c r="D212" s="172"/>
      <c r="E212" s="172"/>
      <c r="F212" s="172"/>
      <c r="G212" s="63"/>
      <c r="H212" s="66"/>
      <c r="I212" s="214"/>
      <c r="J212" s="214"/>
      <c r="K212" s="215"/>
    </row>
    <row r="213" spans="2:11" x14ac:dyDescent="0.35">
      <c r="B213" s="139"/>
      <c r="C213" s="140"/>
      <c r="D213" s="172"/>
      <c r="E213" s="172"/>
      <c r="F213" s="172"/>
      <c r="G213" s="63"/>
      <c r="H213" s="66"/>
      <c r="I213" s="214"/>
      <c r="J213" s="214"/>
      <c r="K213" s="215"/>
    </row>
    <row r="214" spans="2:11" x14ac:dyDescent="0.35">
      <c r="B214" s="139"/>
      <c r="C214" s="140"/>
      <c r="D214" s="172"/>
      <c r="E214" s="172"/>
      <c r="F214" s="172"/>
      <c r="G214" s="63"/>
      <c r="H214" s="66"/>
      <c r="I214" s="214"/>
      <c r="J214" s="214"/>
      <c r="K214" s="215"/>
    </row>
    <row r="215" spans="2:11" x14ac:dyDescent="0.35">
      <c r="B215" s="139"/>
      <c r="C215" s="140"/>
      <c r="D215" s="172"/>
      <c r="E215" s="172"/>
      <c r="F215" s="172"/>
      <c r="G215" s="63"/>
      <c r="H215" s="66"/>
      <c r="I215" s="214"/>
      <c r="J215" s="214"/>
      <c r="K215" s="215"/>
    </row>
    <row r="216" spans="2:11" x14ac:dyDescent="0.35">
      <c r="B216" s="139"/>
      <c r="C216" s="140"/>
      <c r="D216" s="172"/>
      <c r="E216" s="172"/>
      <c r="F216" s="172"/>
      <c r="G216" s="63"/>
      <c r="H216" s="66"/>
      <c r="I216" s="214"/>
      <c r="J216" s="214"/>
      <c r="K216" s="215"/>
    </row>
    <row r="217" spans="2:11" x14ac:dyDescent="0.35">
      <c r="B217" s="139"/>
      <c r="C217" s="140"/>
      <c r="D217" s="172"/>
      <c r="E217" s="172"/>
      <c r="F217" s="172"/>
      <c r="G217" s="63"/>
      <c r="H217" s="66"/>
      <c r="I217" s="214"/>
      <c r="J217" s="214"/>
      <c r="K217" s="215"/>
    </row>
    <row r="218" spans="2:11" x14ac:dyDescent="0.35">
      <c r="B218" s="139"/>
      <c r="C218" s="140"/>
      <c r="D218" s="172"/>
      <c r="E218" s="172"/>
      <c r="F218" s="172"/>
      <c r="G218" s="63"/>
      <c r="H218" s="66"/>
      <c r="I218" s="214"/>
      <c r="J218" s="214"/>
      <c r="K218" s="215"/>
    </row>
    <row r="219" spans="2:11" x14ac:dyDescent="0.35">
      <c r="B219" s="139"/>
      <c r="C219" s="140"/>
      <c r="D219" s="172"/>
      <c r="E219" s="172"/>
      <c r="F219" s="172"/>
      <c r="G219" s="63"/>
      <c r="H219" s="66"/>
      <c r="I219" s="214"/>
      <c r="J219" s="214"/>
      <c r="K219" s="215"/>
    </row>
    <row r="220" spans="2:11" x14ac:dyDescent="0.35">
      <c r="B220" s="139"/>
      <c r="C220" s="140"/>
      <c r="D220" s="172"/>
      <c r="E220" s="172"/>
      <c r="F220" s="172"/>
      <c r="G220" s="63"/>
      <c r="H220" s="66"/>
      <c r="I220" s="214"/>
      <c r="J220" s="214"/>
      <c r="K220" s="215"/>
    </row>
    <row r="221" spans="2:11" x14ac:dyDescent="0.35">
      <c r="B221" s="139"/>
      <c r="C221" s="140"/>
      <c r="D221" s="172"/>
      <c r="E221" s="172"/>
      <c r="F221" s="172"/>
      <c r="G221" s="63"/>
      <c r="H221" s="66"/>
      <c r="I221" s="214"/>
      <c r="J221" s="214"/>
      <c r="K221" s="215"/>
    </row>
    <row r="222" spans="2:11" x14ac:dyDescent="0.35">
      <c r="B222" s="139"/>
      <c r="C222" s="140"/>
      <c r="D222" s="172"/>
      <c r="E222" s="172"/>
      <c r="F222" s="172"/>
      <c r="G222" s="63"/>
      <c r="H222" s="66"/>
      <c r="I222" s="214"/>
      <c r="J222" s="214"/>
      <c r="K222" s="215"/>
    </row>
    <row r="223" spans="2:11" x14ac:dyDescent="0.35">
      <c r="B223" s="139"/>
      <c r="C223" s="140"/>
      <c r="D223" s="172"/>
      <c r="E223" s="172"/>
      <c r="F223" s="172"/>
      <c r="G223" s="63"/>
      <c r="H223" s="66"/>
      <c r="I223" s="214"/>
      <c r="J223" s="214"/>
      <c r="K223" s="215"/>
    </row>
    <row r="224" spans="2:11" x14ac:dyDescent="0.35">
      <c r="B224" s="139"/>
      <c r="C224" s="140"/>
      <c r="D224" s="172"/>
      <c r="E224" s="172"/>
      <c r="F224" s="172"/>
      <c r="G224" s="63"/>
      <c r="H224" s="66"/>
      <c r="I224" s="214"/>
      <c r="J224" s="214"/>
      <c r="K224" s="215"/>
    </row>
    <row r="225" spans="2:11" x14ac:dyDescent="0.35">
      <c r="B225" s="139"/>
      <c r="C225" s="140"/>
      <c r="D225" s="172"/>
      <c r="E225" s="172"/>
      <c r="F225" s="172"/>
      <c r="G225" s="63"/>
      <c r="H225" s="66"/>
      <c r="I225" s="214"/>
      <c r="J225" s="214"/>
      <c r="K225" s="215"/>
    </row>
    <row r="226" spans="2:11" x14ac:dyDescent="0.35">
      <c r="B226" s="139"/>
      <c r="C226" s="140"/>
      <c r="D226" s="172"/>
      <c r="E226" s="172"/>
      <c r="F226" s="172"/>
      <c r="G226" s="63"/>
      <c r="H226" s="66"/>
      <c r="I226" s="214"/>
      <c r="J226" s="214"/>
      <c r="K226" s="215"/>
    </row>
    <row r="227" spans="2:11" x14ac:dyDescent="0.35">
      <c r="B227" s="139"/>
      <c r="C227" s="140"/>
      <c r="D227" s="172"/>
      <c r="E227" s="172"/>
      <c r="F227" s="172"/>
      <c r="G227" s="63"/>
      <c r="H227" s="66"/>
      <c r="I227" s="214"/>
      <c r="J227" s="214"/>
      <c r="K227" s="215"/>
    </row>
    <row r="228" spans="2:11" x14ac:dyDescent="0.35">
      <c r="B228" s="139"/>
      <c r="C228" s="140"/>
      <c r="D228" s="172"/>
      <c r="E228" s="172"/>
      <c r="F228" s="172"/>
      <c r="G228" s="63"/>
      <c r="H228" s="66"/>
      <c r="I228" s="214"/>
      <c r="J228" s="214"/>
      <c r="K228" s="215"/>
    </row>
    <row r="229" spans="2:11" x14ac:dyDescent="0.35">
      <c r="B229" s="139"/>
      <c r="C229" s="140"/>
      <c r="D229" s="172"/>
      <c r="E229" s="172"/>
      <c r="F229" s="172"/>
      <c r="G229" s="63"/>
      <c r="H229" s="66"/>
      <c r="I229" s="214"/>
      <c r="J229" s="214"/>
      <c r="K229" s="215"/>
    </row>
    <row r="230" spans="2:11" x14ac:dyDescent="0.35">
      <c r="B230" s="139"/>
      <c r="C230" s="140"/>
      <c r="D230" s="172"/>
      <c r="E230" s="172"/>
      <c r="F230" s="172"/>
      <c r="G230" s="63"/>
      <c r="H230" s="66"/>
      <c r="I230" s="214"/>
      <c r="J230" s="214"/>
      <c r="K230" s="215"/>
    </row>
    <row r="231" spans="2:11" x14ac:dyDescent="0.35">
      <c r="B231" s="139"/>
      <c r="C231" s="140"/>
      <c r="D231" s="172"/>
      <c r="E231" s="172"/>
      <c r="F231" s="172"/>
      <c r="G231" s="63"/>
      <c r="H231" s="66"/>
      <c r="I231" s="214"/>
      <c r="J231" s="214"/>
      <c r="K231" s="215"/>
    </row>
    <row r="232" spans="2:11" x14ac:dyDescent="0.35">
      <c r="B232" s="139"/>
      <c r="C232" s="140"/>
      <c r="D232" s="172"/>
      <c r="E232" s="172"/>
      <c r="F232" s="172"/>
      <c r="G232" s="63"/>
      <c r="H232" s="66"/>
      <c r="I232" s="214"/>
      <c r="J232" s="214"/>
      <c r="K232" s="215"/>
    </row>
    <row r="233" spans="2:11" x14ac:dyDescent="0.35">
      <c r="B233" s="139"/>
      <c r="C233" s="140"/>
      <c r="D233" s="172"/>
      <c r="E233" s="172"/>
      <c r="F233" s="172"/>
      <c r="G233" s="63"/>
      <c r="H233" s="66"/>
      <c r="I233" s="214"/>
      <c r="J233" s="214"/>
      <c r="K233" s="215"/>
    </row>
    <row r="234" spans="2:11" x14ac:dyDescent="0.35">
      <c r="B234" s="139"/>
      <c r="C234" s="140"/>
      <c r="D234" s="172"/>
      <c r="E234" s="172"/>
      <c r="F234" s="172"/>
      <c r="G234" s="63"/>
      <c r="H234" s="66"/>
      <c r="I234" s="214"/>
      <c r="J234" s="214"/>
      <c r="K234" s="215"/>
    </row>
    <row r="235" spans="2:11" x14ac:dyDescent="0.35">
      <c r="B235" s="139"/>
      <c r="C235" s="140"/>
      <c r="D235" s="172"/>
      <c r="E235" s="172"/>
      <c r="F235" s="172"/>
      <c r="G235" s="63"/>
      <c r="H235" s="66"/>
      <c r="I235" s="214"/>
      <c r="J235" s="214"/>
      <c r="K235" s="215"/>
    </row>
    <row r="236" spans="2:11" x14ac:dyDescent="0.35">
      <c r="B236" s="139"/>
      <c r="C236" s="140"/>
      <c r="D236" s="172"/>
      <c r="E236" s="172"/>
      <c r="F236" s="172"/>
      <c r="G236" s="63"/>
      <c r="H236" s="66"/>
      <c r="I236" s="214"/>
      <c r="J236" s="214"/>
      <c r="K236" s="215"/>
    </row>
    <row r="237" spans="2:11" x14ac:dyDescent="0.35">
      <c r="B237" s="139"/>
      <c r="C237" s="140"/>
      <c r="D237" s="172"/>
      <c r="E237" s="172"/>
      <c r="F237" s="172"/>
      <c r="G237" s="63"/>
      <c r="H237" s="66"/>
      <c r="I237" s="214"/>
      <c r="J237" s="214"/>
      <c r="K237" s="215"/>
    </row>
    <row r="238" spans="2:11" x14ac:dyDescent="0.35">
      <c r="B238" s="139"/>
      <c r="C238" s="140"/>
      <c r="D238" s="172"/>
      <c r="E238" s="172"/>
      <c r="F238" s="172"/>
      <c r="G238" s="63"/>
      <c r="H238" s="66"/>
      <c r="I238" s="214"/>
      <c r="J238" s="214"/>
      <c r="K238" s="215"/>
    </row>
    <row r="239" spans="2:11" x14ac:dyDescent="0.35">
      <c r="B239" s="139"/>
      <c r="C239" s="140"/>
      <c r="D239" s="172"/>
      <c r="E239" s="172"/>
      <c r="F239" s="172"/>
      <c r="G239" s="63"/>
      <c r="H239" s="66"/>
      <c r="I239" s="214"/>
      <c r="J239" s="214"/>
      <c r="K239" s="215"/>
    </row>
    <row r="240" spans="2:11" x14ac:dyDescent="0.35">
      <c r="B240" s="139"/>
      <c r="C240" s="140"/>
      <c r="D240" s="172"/>
      <c r="E240" s="172"/>
      <c r="F240" s="172"/>
      <c r="G240" s="63"/>
      <c r="H240" s="66"/>
      <c r="I240" s="214"/>
      <c r="J240" s="214"/>
      <c r="K240" s="215"/>
    </row>
    <row r="241" spans="2:11" x14ac:dyDescent="0.35">
      <c r="B241" s="139"/>
      <c r="C241" s="140"/>
      <c r="D241" s="172"/>
      <c r="E241" s="172"/>
      <c r="F241" s="172"/>
      <c r="G241" s="63"/>
      <c r="H241" s="66"/>
      <c r="I241" s="214"/>
      <c r="J241" s="214"/>
      <c r="K241" s="215"/>
    </row>
    <row r="242" spans="2:11" x14ac:dyDescent="0.35">
      <c r="B242" s="139"/>
      <c r="C242" s="140"/>
      <c r="D242" s="172"/>
      <c r="E242" s="172"/>
      <c r="F242" s="172"/>
      <c r="G242" s="63"/>
      <c r="H242" s="66"/>
      <c r="I242" s="214"/>
      <c r="J242" s="214"/>
      <c r="K242" s="215"/>
    </row>
    <row r="243" spans="2:11" x14ac:dyDescent="0.35">
      <c r="B243" s="139"/>
      <c r="C243" s="140"/>
      <c r="D243" s="172"/>
      <c r="E243" s="172"/>
      <c r="F243" s="172"/>
      <c r="G243" s="63"/>
      <c r="H243" s="66"/>
      <c r="I243" s="214"/>
      <c r="J243" s="214"/>
      <c r="K243" s="215"/>
    </row>
    <row r="244" spans="2:11" x14ac:dyDescent="0.35">
      <c r="B244" s="139"/>
      <c r="C244" s="140"/>
      <c r="D244" s="172"/>
      <c r="E244" s="172"/>
      <c r="F244" s="172"/>
      <c r="G244" s="63"/>
      <c r="H244" s="66"/>
      <c r="I244" s="214"/>
      <c r="J244" s="214"/>
      <c r="K244" s="215"/>
    </row>
    <row r="245" spans="2:11" x14ac:dyDescent="0.35">
      <c r="B245" s="139"/>
      <c r="C245" s="140"/>
      <c r="D245" s="172"/>
      <c r="E245" s="172"/>
      <c r="F245" s="172"/>
      <c r="G245" s="63"/>
      <c r="H245" s="66"/>
      <c r="I245" s="214"/>
      <c r="J245" s="214"/>
      <c r="K245" s="215"/>
    </row>
    <row r="246" spans="2:11" x14ac:dyDescent="0.35">
      <c r="B246" s="139"/>
      <c r="C246" s="140"/>
      <c r="D246" s="172"/>
      <c r="E246" s="172"/>
      <c r="F246" s="172"/>
      <c r="G246" s="63"/>
      <c r="H246" s="66"/>
      <c r="I246" s="214"/>
      <c r="J246" s="214"/>
      <c r="K246" s="215"/>
    </row>
    <row r="247" spans="2:11" x14ac:dyDescent="0.35">
      <c r="B247" s="139"/>
      <c r="C247" s="140"/>
      <c r="D247" s="172"/>
      <c r="E247" s="172"/>
      <c r="F247" s="172"/>
      <c r="G247" s="63"/>
      <c r="H247" s="66"/>
      <c r="I247" s="214"/>
      <c r="J247" s="214"/>
      <c r="K247" s="215"/>
    </row>
    <row r="248" spans="2:11" x14ac:dyDescent="0.35">
      <c r="B248" s="139"/>
      <c r="C248" s="140"/>
      <c r="D248" s="172"/>
      <c r="E248" s="172"/>
      <c r="F248" s="172"/>
      <c r="G248" s="63"/>
      <c r="H248" s="66"/>
      <c r="I248" s="214"/>
      <c r="J248" s="214"/>
      <c r="K248" s="215"/>
    </row>
    <row r="249" spans="2:11" x14ac:dyDescent="0.35">
      <c r="B249" s="139"/>
      <c r="C249" s="140"/>
      <c r="D249" s="172"/>
      <c r="E249" s="172"/>
      <c r="F249" s="172"/>
      <c r="G249" s="63"/>
      <c r="H249" s="66"/>
      <c r="I249" s="214"/>
      <c r="J249" s="214"/>
      <c r="K249" s="215"/>
    </row>
    <row r="250" spans="2:11" x14ac:dyDescent="0.35">
      <c r="B250" s="139"/>
      <c r="C250" s="140"/>
      <c r="D250" s="172"/>
      <c r="E250" s="172"/>
      <c r="F250" s="172"/>
      <c r="G250" s="63"/>
      <c r="H250" s="66"/>
      <c r="I250" s="214"/>
      <c r="J250" s="214"/>
      <c r="K250" s="215"/>
    </row>
    <row r="251" spans="2:11" x14ac:dyDescent="0.35">
      <c r="B251" s="139"/>
      <c r="C251" s="140"/>
      <c r="D251" s="172"/>
      <c r="E251" s="172"/>
      <c r="F251" s="172"/>
      <c r="G251" s="63"/>
      <c r="H251" s="66"/>
      <c r="I251" s="214"/>
      <c r="J251" s="214"/>
      <c r="K251" s="215"/>
    </row>
    <row r="252" spans="2:11" x14ac:dyDescent="0.35">
      <c r="B252" s="139"/>
      <c r="C252" s="140"/>
      <c r="D252" s="172"/>
      <c r="E252" s="172"/>
      <c r="F252" s="172"/>
      <c r="G252" s="63"/>
      <c r="H252" s="66"/>
      <c r="I252" s="214"/>
      <c r="J252" s="214"/>
      <c r="K252" s="215"/>
    </row>
    <row r="253" spans="2:11" x14ac:dyDescent="0.35">
      <c r="B253" s="139"/>
      <c r="C253" s="140"/>
      <c r="D253" s="172"/>
      <c r="E253" s="172"/>
      <c r="F253" s="172"/>
      <c r="G253" s="63"/>
      <c r="H253" s="66"/>
      <c r="I253" s="214"/>
      <c r="J253" s="214"/>
      <c r="K253" s="215"/>
    </row>
    <row r="254" spans="2:11" ht="15.5" customHeight="1" thickBot="1" x14ac:dyDescent="0.4">
      <c r="B254" s="141"/>
      <c r="C254" s="142"/>
      <c r="D254" s="191"/>
      <c r="E254" s="191"/>
      <c r="F254" s="191"/>
      <c r="G254" s="64"/>
      <c r="H254" s="67"/>
      <c r="I254" s="216"/>
      <c r="J254" s="216"/>
      <c r="K254" s="217"/>
    </row>
  </sheetData>
  <mergeCells count="761">
    <mergeCell ref="B254:C254"/>
    <mergeCell ref="D254:F254"/>
    <mergeCell ref="I254:K254"/>
    <mergeCell ref="B252:C252"/>
    <mergeCell ref="D252:F252"/>
    <mergeCell ref="I252:K252"/>
    <mergeCell ref="B253:C253"/>
    <mergeCell ref="D253:F253"/>
    <mergeCell ref="I253:K253"/>
    <mergeCell ref="B250:C250"/>
    <mergeCell ref="D250:F250"/>
    <mergeCell ref="I250:K250"/>
    <mergeCell ref="B251:C251"/>
    <mergeCell ref="D251:F251"/>
    <mergeCell ref="I251:K251"/>
    <mergeCell ref="B248:C248"/>
    <mergeCell ref="D248:F248"/>
    <mergeCell ref="I248:K248"/>
    <mergeCell ref="B249:C249"/>
    <mergeCell ref="D249:F249"/>
    <mergeCell ref="I249:K249"/>
    <mergeCell ref="B246:C246"/>
    <mergeCell ref="D246:F246"/>
    <mergeCell ref="I246:K246"/>
    <mergeCell ref="B247:C247"/>
    <mergeCell ref="D247:F247"/>
    <mergeCell ref="I247:K247"/>
    <mergeCell ref="B244:C244"/>
    <mergeCell ref="D244:F244"/>
    <mergeCell ref="I244:K244"/>
    <mergeCell ref="B245:C245"/>
    <mergeCell ref="D245:F245"/>
    <mergeCell ref="I245:K245"/>
    <mergeCell ref="B242:C242"/>
    <mergeCell ref="D242:F242"/>
    <mergeCell ref="I242:K242"/>
    <mergeCell ref="B243:C243"/>
    <mergeCell ref="D243:F243"/>
    <mergeCell ref="I243:K243"/>
    <mergeCell ref="B240:C240"/>
    <mergeCell ref="D240:F240"/>
    <mergeCell ref="I240:K240"/>
    <mergeCell ref="B241:C241"/>
    <mergeCell ref="D241:F241"/>
    <mergeCell ref="I241:K241"/>
    <mergeCell ref="B238:C238"/>
    <mergeCell ref="D238:F238"/>
    <mergeCell ref="I238:K238"/>
    <mergeCell ref="B239:C239"/>
    <mergeCell ref="D239:F239"/>
    <mergeCell ref="I239:K239"/>
    <mergeCell ref="B236:C236"/>
    <mergeCell ref="D236:F236"/>
    <mergeCell ref="I236:K236"/>
    <mergeCell ref="B237:C237"/>
    <mergeCell ref="D237:F237"/>
    <mergeCell ref="I237:K237"/>
    <mergeCell ref="B234:C234"/>
    <mergeCell ref="D234:F234"/>
    <mergeCell ref="I234:K234"/>
    <mergeCell ref="B235:C235"/>
    <mergeCell ref="D235:F235"/>
    <mergeCell ref="I235:K235"/>
    <mergeCell ref="B232:C232"/>
    <mergeCell ref="D232:F232"/>
    <mergeCell ref="I232:K232"/>
    <mergeCell ref="B233:C233"/>
    <mergeCell ref="D233:F233"/>
    <mergeCell ref="I233:K233"/>
    <mergeCell ref="B230:C230"/>
    <mergeCell ref="D230:F230"/>
    <mergeCell ref="I230:K230"/>
    <mergeCell ref="B231:C231"/>
    <mergeCell ref="D231:F231"/>
    <mergeCell ref="I231:K231"/>
    <mergeCell ref="B228:C228"/>
    <mergeCell ref="D228:F228"/>
    <mergeCell ref="I228:K228"/>
    <mergeCell ref="B229:C229"/>
    <mergeCell ref="D229:F229"/>
    <mergeCell ref="I229:K229"/>
    <mergeCell ref="B226:C226"/>
    <mergeCell ref="D226:F226"/>
    <mergeCell ref="I226:K226"/>
    <mergeCell ref="B227:C227"/>
    <mergeCell ref="D227:F227"/>
    <mergeCell ref="I227:K227"/>
    <mergeCell ref="B224:C224"/>
    <mergeCell ref="D224:F224"/>
    <mergeCell ref="I224:K224"/>
    <mergeCell ref="B225:C225"/>
    <mergeCell ref="D225:F225"/>
    <mergeCell ref="I225:K225"/>
    <mergeCell ref="B222:C222"/>
    <mergeCell ref="D222:F222"/>
    <mergeCell ref="I222:K222"/>
    <mergeCell ref="B223:C223"/>
    <mergeCell ref="D223:F223"/>
    <mergeCell ref="I223:K223"/>
    <mergeCell ref="B220:C220"/>
    <mergeCell ref="D220:F220"/>
    <mergeCell ref="I220:K220"/>
    <mergeCell ref="B221:C221"/>
    <mergeCell ref="D221:F221"/>
    <mergeCell ref="I221:K221"/>
    <mergeCell ref="B218:C218"/>
    <mergeCell ref="D218:F218"/>
    <mergeCell ref="I218:K218"/>
    <mergeCell ref="B219:C219"/>
    <mergeCell ref="D219:F219"/>
    <mergeCell ref="I219:K219"/>
    <mergeCell ref="B216:C216"/>
    <mergeCell ref="D216:F216"/>
    <mergeCell ref="I216:K216"/>
    <mergeCell ref="B217:C217"/>
    <mergeCell ref="D217:F217"/>
    <mergeCell ref="I217:K217"/>
    <mergeCell ref="B214:C214"/>
    <mergeCell ref="D214:F214"/>
    <mergeCell ref="I214:K214"/>
    <mergeCell ref="B215:C215"/>
    <mergeCell ref="D215:F215"/>
    <mergeCell ref="I215:K215"/>
    <mergeCell ref="B212:C212"/>
    <mergeCell ref="D212:F212"/>
    <mergeCell ref="I212:K212"/>
    <mergeCell ref="B213:C213"/>
    <mergeCell ref="D213:F213"/>
    <mergeCell ref="I213:K213"/>
    <mergeCell ref="B210:C210"/>
    <mergeCell ref="D210:F210"/>
    <mergeCell ref="I210:K210"/>
    <mergeCell ref="B211:C211"/>
    <mergeCell ref="D211:F211"/>
    <mergeCell ref="I211:K211"/>
    <mergeCell ref="B208:C208"/>
    <mergeCell ref="D208:F208"/>
    <mergeCell ref="I208:K208"/>
    <mergeCell ref="B209:C209"/>
    <mergeCell ref="D209:F209"/>
    <mergeCell ref="I209:K209"/>
    <mergeCell ref="B206:C206"/>
    <mergeCell ref="D206:F206"/>
    <mergeCell ref="I206:K206"/>
    <mergeCell ref="B207:C207"/>
    <mergeCell ref="D207:F207"/>
    <mergeCell ref="I207:K207"/>
    <mergeCell ref="B204:C204"/>
    <mergeCell ref="D204:F204"/>
    <mergeCell ref="I204:K204"/>
    <mergeCell ref="B205:C205"/>
    <mergeCell ref="D205:F205"/>
    <mergeCell ref="I205:K205"/>
    <mergeCell ref="B202:C202"/>
    <mergeCell ref="D202:F202"/>
    <mergeCell ref="I202:K202"/>
    <mergeCell ref="B203:C203"/>
    <mergeCell ref="D203:F203"/>
    <mergeCell ref="I203:K203"/>
    <mergeCell ref="B200:C200"/>
    <mergeCell ref="D200:F200"/>
    <mergeCell ref="I200:K200"/>
    <mergeCell ref="B201:C201"/>
    <mergeCell ref="D201:F201"/>
    <mergeCell ref="I201:K201"/>
    <mergeCell ref="B198:C198"/>
    <mergeCell ref="D198:F198"/>
    <mergeCell ref="I198:K198"/>
    <mergeCell ref="B199:C199"/>
    <mergeCell ref="D199:F199"/>
    <mergeCell ref="I199:K199"/>
    <mergeCell ref="B196:C196"/>
    <mergeCell ref="D196:F196"/>
    <mergeCell ref="I196:K196"/>
    <mergeCell ref="B197:C197"/>
    <mergeCell ref="D197:F197"/>
    <mergeCell ref="I197:K197"/>
    <mergeCell ref="B194:C194"/>
    <mergeCell ref="D194:F194"/>
    <mergeCell ref="I194:K194"/>
    <mergeCell ref="B195:C195"/>
    <mergeCell ref="D195:F195"/>
    <mergeCell ref="I195:K195"/>
    <mergeCell ref="B192:C192"/>
    <mergeCell ref="D192:F192"/>
    <mergeCell ref="I192:K192"/>
    <mergeCell ref="B193:C193"/>
    <mergeCell ref="D193:F193"/>
    <mergeCell ref="I193:K193"/>
    <mergeCell ref="B190:C190"/>
    <mergeCell ref="D190:F190"/>
    <mergeCell ref="I190:K190"/>
    <mergeCell ref="B191:C191"/>
    <mergeCell ref="D191:F191"/>
    <mergeCell ref="I191:K191"/>
    <mergeCell ref="B188:C188"/>
    <mergeCell ref="D188:F188"/>
    <mergeCell ref="I188:K188"/>
    <mergeCell ref="B189:C189"/>
    <mergeCell ref="D189:F189"/>
    <mergeCell ref="I189:K189"/>
    <mergeCell ref="B186:C186"/>
    <mergeCell ref="D186:F186"/>
    <mergeCell ref="I186:K186"/>
    <mergeCell ref="B187:C187"/>
    <mergeCell ref="D187:F187"/>
    <mergeCell ref="I187:K187"/>
    <mergeCell ref="B184:C184"/>
    <mergeCell ref="D184:F184"/>
    <mergeCell ref="I184:K184"/>
    <mergeCell ref="B185:C185"/>
    <mergeCell ref="D185:F185"/>
    <mergeCell ref="I185:K185"/>
    <mergeCell ref="B182:C182"/>
    <mergeCell ref="D182:F182"/>
    <mergeCell ref="I182:K182"/>
    <mergeCell ref="B183:C183"/>
    <mergeCell ref="D183:F183"/>
    <mergeCell ref="I183:K183"/>
    <mergeCell ref="B180:C180"/>
    <mergeCell ref="D180:F180"/>
    <mergeCell ref="I180:K180"/>
    <mergeCell ref="B181:C181"/>
    <mergeCell ref="D181:F181"/>
    <mergeCell ref="I181:K181"/>
    <mergeCell ref="B178:C178"/>
    <mergeCell ref="D178:F178"/>
    <mergeCell ref="I178:K178"/>
    <mergeCell ref="B179:C179"/>
    <mergeCell ref="D179:F179"/>
    <mergeCell ref="I179:K179"/>
    <mergeCell ref="B176:C176"/>
    <mergeCell ref="D176:F176"/>
    <mergeCell ref="I176:K176"/>
    <mergeCell ref="B177:C177"/>
    <mergeCell ref="D177:F177"/>
    <mergeCell ref="I177:K177"/>
    <mergeCell ref="B174:C174"/>
    <mergeCell ref="D174:F174"/>
    <mergeCell ref="I174:K174"/>
    <mergeCell ref="B175:C175"/>
    <mergeCell ref="D175:F175"/>
    <mergeCell ref="I175:K175"/>
    <mergeCell ref="B172:C172"/>
    <mergeCell ref="D172:F172"/>
    <mergeCell ref="I172:K172"/>
    <mergeCell ref="B173:C173"/>
    <mergeCell ref="D173:F173"/>
    <mergeCell ref="I173:K173"/>
    <mergeCell ref="B170:C170"/>
    <mergeCell ref="D170:F170"/>
    <mergeCell ref="I170:K170"/>
    <mergeCell ref="B171:C171"/>
    <mergeCell ref="D171:F171"/>
    <mergeCell ref="I171:K171"/>
    <mergeCell ref="B168:C168"/>
    <mergeCell ref="D168:F168"/>
    <mergeCell ref="I168:K168"/>
    <mergeCell ref="B169:C169"/>
    <mergeCell ref="D169:F169"/>
    <mergeCell ref="I169:K169"/>
    <mergeCell ref="B166:C166"/>
    <mergeCell ref="D166:F166"/>
    <mergeCell ref="I166:K166"/>
    <mergeCell ref="B167:C167"/>
    <mergeCell ref="D167:F167"/>
    <mergeCell ref="I167:K167"/>
    <mergeCell ref="B164:C164"/>
    <mergeCell ref="D164:F164"/>
    <mergeCell ref="I164:K164"/>
    <mergeCell ref="B165:C165"/>
    <mergeCell ref="D165:F165"/>
    <mergeCell ref="I165:K165"/>
    <mergeCell ref="B162:C162"/>
    <mergeCell ref="D162:F162"/>
    <mergeCell ref="I162:K162"/>
    <mergeCell ref="B163:C163"/>
    <mergeCell ref="D163:F163"/>
    <mergeCell ref="I163:K163"/>
    <mergeCell ref="B160:C160"/>
    <mergeCell ref="D160:F160"/>
    <mergeCell ref="I160:K160"/>
    <mergeCell ref="B161:C161"/>
    <mergeCell ref="D161:F161"/>
    <mergeCell ref="I161:K161"/>
    <mergeCell ref="B158:C158"/>
    <mergeCell ref="D158:F158"/>
    <mergeCell ref="I158:K158"/>
    <mergeCell ref="B159:C159"/>
    <mergeCell ref="D159:F159"/>
    <mergeCell ref="I159:K159"/>
    <mergeCell ref="B156:C156"/>
    <mergeCell ref="D156:F156"/>
    <mergeCell ref="I156:K156"/>
    <mergeCell ref="B157:C157"/>
    <mergeCell ref="D157:F157"/>
    <mergeCell ref="I157:K157"/>
    <mergeCell ref="B154:C154"/>
    <mergeCell ref="D154:F154"/>
    <mergeCell ref="I154:K154"/>
    <mergeCell ref="B155:C155"/>
    <mergeCell ref="D155:F155"/>
    <mergeCell ref="I155:K155"/>
    <mergeCell ref="B152:C152"/>
    <mergeCell ref="D152:F152"/>
    <mergeCell ref="I152:K152"/>
    <mergeCell ref="B153:C153"/>
    <mergeCell ref="D153:F153"/>
    <mergeCell ref="I153:K153"/>
    <mergeCell ref="B150:C150"/>
    <mergeCell ref="D150:F150"/>
    <mergeCell ref="I150:K150"/>
    <mergeCell ref="B151:C151"/>
    <mergeCell ref="D151:F151"/>
    <mergeCell ref="I151:K151"/>
    <mergeCell ref="B148:C148"/>
    <mergeCell ref="D148:F148"/>
    <mergeCell ref="I148:K148"/>
    <mergeCell ref="B149:C149"/>
    <mergeCell ref="D149:F149"/>
    <mergeCell ref="I149:K149"/>
    <mergeCell ref="B146:C146"/>
    <mergeCell ref="D146:F146"/>
    <mergeCell ref="I146:K146"/>
    <mergeCell ref="B147:C147"/>
    <mergeCell ref="D147:F147"/>
    <mergeCell ref="I147:K147"/>
    <mergeCell ref="B144:C144"/>
    <mergeCell ref="D144:F144"/>
    <mergeCell ref="I144:K144"/>
    <mergeCell ref="B145:C145"/>
    <mergeCell ref="D145:F145"/>
    <mergeCell ref="I145:K145"/>
    <mergeCell ref="B142:C142"/>
    <mergeCell ref="D142:F142"/>
    <mergeCell ref="I142:K142"/>
    <mergeCell ref="B143:C143"/>
    <mergeCell ref="D143:F143"/>
    <mergeCell ref="I143:K143"/>
    <mergeCell ref="B140:C140"/>
    <mergeCell ref="D140:F140"/>
    <mergeCell ref="I140:K140"/>
    <mergeCell ref="B141:C141"/>
    <mergeCell ref="D141:F141"/>
    <mergeCell ref="I141:K141"/>
    <mergeCell ref="B138:C138"/>
    <mergeCell ref="D138:F138"/>
    <mergeCell ref="I138:K138"/>
    <mergeCell ref="B139:C139"/>
    <mergeCell ref="D139:F139"/>
    <mergeCell ref="I139:K139"/>
    <mergeCell ref="B136:C136"/>
    <mergeCell ref="D136:F136"/>
    <mergeCell ref="I136:K136"/>
    <mergeCell ref="B137:C137"/>
    <mergeCell ref="D137:F137"/>
    <mergeCell ref="I137:K137"/>
    <mergeCell ref="B134:C134"/>
    <mergeCell ref="D134:F134"/>
    <mergeCell ref="I134:K134"/>
    <mergeCell ref="B135:C135"/>
    <mergeCell ref="D135:F135"/>
    <mergeCell ref="I135:K135"/>
    <mergeCell ref="B132:C132"/>
    <mergeCell ref="D132:F132"/>
    <mergeCell ref="I132:K132"/>
    <mergeCell ref="B133:C133"/>
    <mergeCell ref="D133:F133"/>
    <mergeCell ref="I133:K133"/>
    <mergeCell ref="B130:C130"/>
    <mergeCell ref="D130:F130"/>
    <mergeCell ref="I130:K130"/>
    <mergeCell ref="B131:C131"/>
    <mergeCell ref="D131:F131"/>
    <mergeCell ref="I131:K131"/>
    <mergeCell ref="B128:C128"/>
    <mergeCell ref="D128:F128"/>
    <mergeCell ref="I128:K128"/>
    <mergeCell ref="B129:C129"/>
    <mergeCell ref="D129:F129"/>
    <mergeCell ref="I129:K129"/>
    <mergeCell ref="B126:C126"/>
    <mergeCell ref="D126:F126"/>
    <mergeCell ref="I126:K126"/>
    <mergeCell ref="B127:C127"/>
    <mergeCell ref="D127:F127"/>
    <mergeCell ref="I127:K127"/>
    <mergeCell ref="B124:C124"/>
    <mergeCell ref="D124:F124"/>
    <mergeCell ref="I124:K124"/>
    <mergeCell ref="B125:C125"/>
    <mergeCell ref="D125:F125"/>
    <mergeCell ref="I125:K125"/>
    <mergeCell ref="B122:C122"/>
    <mergeCell ref="D122:F122"/>
    <mergeCell ref="I122:K122"/>
    <mergeCell ref="B123:C123"/>
    <mergeCell ref="D123:F123"/>
    <mergeCell ref="I123:K123"/>
    <mergeCell ref="B120:C120"/>
    <mergeCell ref="D120:F120"/>
    <mergeCell ref="I120:K120"/>
    <mergeCell ref="B121:C121"/>
    <mergeCell ref="D121:F121"/>
    <mergeCell ref="I121:K121"/>
    <mergeCell ref="B118:C118"/>
    <mergeCell ref="D118:F118"/>
    <mergeCell ref="I118:K118"/>
    <mergeCell ref="B119:C119"/>
    <mergeCell ref="D119:F119"/>
    <mergeCell ref="I119:K119"/>
    <mergeCell ref="B116:C116"/>
    <mergeCell ref="D116:F116"/>
    <mergeCell ref="I116:K116"/>
    <mergeCell ref="B117:C117"/>
    <mergeCell ref="D117:F117"/>
    <mergeCell ref="I117:K117"/>
    <mergeCell ref="B114:C114"/>
    <mergeCell ref="D114:F114"/>
    <mergeCell ref="I114:K114"/>
    <mergeCell ref="B115:C115"/>
    <mergeCell ref="D115:F115"/>
    <mergeCell ref="I115:K115"/>
    <mergeCell ref="B112:C112"/>
    <mergeCell ref="D112:F112"/>
    <mergeCell ref="I112:K112"/>
    <mergeCell ref="B113:C113"/>
    <mergeCell ref="D113:F113"/>
    <mergeCell ref="I113:K113"/>
    <mergeCell ref="B110:C110"/>
    <mergeCell ref="D110:F110"/>
    <mergeCell ref="I110:K110"/>
    <mergeCell ref="B111:C111"/>
    <mergeCell ref="D111:F111"/>
    <mergeCell ref="I111:K111"/>
    <mergeCell ref="B108:C108"/>
    <mergeCell ref="D108:F108"/>
    <mergeCell ref="I108:K108"/>
    <mergeCell ref="B109:C109"/>
    <mergeCell ref="D109:F109"/>
    <mergeCell ref="I109:K109"/>
    <mergeCell ref="B106:C106"/>
    <mergeCell ref="D106:F106"/>
    <mergeCell ref="I106:K106"/>
    <mergeCell ref="B107:C107"/>
    <mergeCell ref="D107:F107"/>
    <mergeCell ref="I107:K107"/>
    <mergeCell ref="B104:C104"/>
    <mergeCell ref="D104:F104"/>
    <mergeCell ref="I104:K104"/>
    <mergeCell ref="B105:C105"/>
    <mergeCell ref="D105:F105"/>
    <mergeCell ref="I105:K105"/>
    <mergeCell ref="B102:C102"/>
    <mergeCell ref="D102:F102"/>
    <mergeCell ref="I102:K102"/>
    <mergeCell ref="B103:C103"/>
    <mergeCell ref="D103:F103"/>
    <mergeCell ref="I103:K103"/>
    <mergeCell ref="B100:C100"/>
    <mergeCell ref="D100:F100"/>
    <mergeCell ref="I100:K100"/>
    <mergeCell ref="B101:C101"/>
    <mergeCell ref="D101:F101"/>
    <mergeCell ref="I101:K101"/>
    <mergeCell ref="B98:C98"/>
    <mergeCell ref="D98:F98"/>
    <mergeCell ref="I98:K98"/>
    <mergeCell ref="B99:C99"/>
    <mergeCell ref="D99:F99"/>
    <mergeCell ref="I99:K99"/>
    <mergeCell ref="B96:C96"/>
    <mergeCell ref="D96:F96"/>
    <mergeCell ref="I96:K96"/>
    <mergeCell ref="B97:C97"/>
    <mergeCell ref="D97:F97"/>
    <mergeCell ref="I97:K97"/>
    <mergeCell ref="B94:C94"/>
    <mergeCell ref="D94:F94"/>
    <mergeCell ref="I94:K94"/>
    <mergeCell ref="B95:C95"/>
    <mergeCell ref="D95:F95"/>
    <mergeCell ref="I95:K95"/>
    <mergeCell ref="B92:C92"/>
    <mergeCell ref="D92:F92"/>
    <mergeCell ref="I92:K92"/>
    <mergeCell ref="B93:C93"/>
    <mergeCell ref="D93:F93"/>
    <mergeCell ref="I93:K93"/>
    <mergeCell ref="B90:C90"/>
    <mergeCell ref="D90:F90"/>
    <mergeCell ref="I90:K90"/>
    <mergeCell ref="B91:C91"/>
    <mergeCell ref="D91:F91"/>
    <mergeCell ref="I91:K91"/>
    <mergeCell ref="B88:C88"/>
    <mergeCell ref="D88:F88"/>
    <mergeCell ref="I88:K88"/>
    <mergeCell ref="B89:C89"/>
    <mergeCell ref="D89:F89"/>
    <mergeCell ref="I89:K89"/>
    <mergeCell ref="B86:C86"/>
    <mergeCell ref="D86:F86"/>
    <mergeCell ref="I86:K86"/>
    <mergeCell ref="B87:C87"/>
    <mergeCell ref="D87:F87"/>
    <mergeCell ref="I87:K87"/>
    <mergeCell ref="B84:C84"/>
    <mergeCell ref="D84:F84"/>
    <mergeCell ref="I84:K84"/>
    <mergeCell ref="B85:C85"/>
    <mergeCell ref="D85:F85"/>
    <mergeCell ref="I85:K85"/>
    <mergeCell ref="B82:C82"/>
    <mergeCell ref="D82:F82"/>
    <mergeCell ref="I82:K82"/>
    <mergeCell ref="B83:C83"/>
    <mergeCell ref="D83:F83"/>
    <mergeCell ref="I83:K83"/>
    <mergeCell ref="B80:C80"/>
    <mergeCell ref="D80:F80"/>
    <mergeCell ref="I80:K80"/>
    <mergeCell ref="B81:C81"/>
    <mergeCell ref="D81:F81"/>
    <mergeCell ref="I81:K81"/>
    <mergeCell ref="B78:C78"/>
    <mergeCell ref="D78:F78"/>
    <mergeCell ref="I78:K78"/>
    <mergeCell ref="B79:C79"/>
    <mergeCell ref="D79:F79"/>
    <mergeCell ref="I79:K79"/>
    <mergeCell ref="B76:C76"/>
    <mergeCell ref="D76:F76"/>
    <mergeCell ref="I76:K76"/>
    <mergeCell ref="B77:C77"/>
    <mergeCell ref="D77:F77"/>
    <mergeCell ref="I77:K77"/>
    <mergeCell ref="B74:C74"/>
    <mergeCell ref="D74:F74"/>
    <mergeCell ref="I74:K74"/>
    <mergeCell ref="B75:C75"/>
    <mergeCell ref="D75:F75"/>
    <mergeCell ref="I75:K75"/>
    <mergeCell ref="B72:C72"/>
    <mergeCell ref="D72:F72"/>
    <mergeCell ref="I72:K72"/>
    <mergeCell ref="B73:C73"/>
    <mergeCell ref="D73:F73"/>
    <mergeCell ref="I73:K73"/>
    <mergeCell ref="B70:C70"/>
    <mergeCell ref="D70:F70"/>
    <mergeCell ref="I70:K70"/>
    <mergeCell ref="B71:C71"/>
    <mergeCell ref="D71:F71"/>
    <mergeCell ref="I71:K71"/>
    <mergeCell ref="B68:C68"/>
    <mergeCell ref="D68:F68"/>
    <mergeCell ref="I68:K68"/>
    <mergeCell ref="B69:C69"/>
    <mergeCell ref="D69:F69"/>
    <mergeCell ref="I69:K69"/>
    <mergeCell ref="B66:C66"/>
    <mergeCell ref="D66:F66"/>
    <mergeCell ref="I66:K66"/>
    <mergeCell ref="B67:C67"/>
    <mergeCell ref="D67:F67"/>
    <mergeCell ref="I67:K67"/>
    <mergeCell ref="B64:C64"/>
    <mergeCell ref="D64:F64"/>
    <mergeCell ref="I64:K64"/>
    <mergeCell ref="B65:C65"/>
    <mergeCell ref="D65:F65"/>
    <mergeCell ref="I65:K65"/>
    <mergeCell ref="B62:C62"/>
    <mergeCell ref="D62:F62"/>
    <mergeCell ref="I62:K62"/>
    <mergeCell ref="B63:C63"/>
    <mergeCell ref="D63:F63"/>
    <mergeCell ref="I63:K63"/>
    <mergeCell ref="B60:C60"/>
    <mergeCell ref="D60:F60"/>
    <mergeCell ref="I60:K60"/>
    <mergeCell ref="B61:C61"/>
    <mergeCell ref="D61:F61"/>
    <mergeCell ref="I61:K61"/>
    <mergeCell ref="B58:C58"/>
    <mergeCell ref="D58:F58"/>
    <mergeCell ref="I58:K58"/>
    <mergeCell ref="B59:C59"/>
    <mergeCell ref="D59:F59"/>
    <mergeCell ref="I59:K59"/>
    <mergeCell ref="B56:C56"/>
    <mergeCell ref="D56:F56"/>
    <mergeCell ref="I56:K56"/>
    <mergeCell ref="B57:C57"/>
    <mergeCell ref="D57:F57"/>
    <mergeCell ref="I57:K57"/>
    <mergeCell ref="B54:C54"/>
    <mergeCell ref="D54:F54"/>
    <mergeCell ref="I54:K54"/>
    <mergeCell ref="B55:C55"/>
    <mergeCell ref="D55:F55"/>
    <mergeCell ref="I55:K55"/>
    <mergeCell ref="B52:C52"/>
    <mergeCell ref="D52:F52"/>
    <mergeCell ref="I52:K52"/>
    <mergeCell ref="B53:C53"/>
    <mergeCell ref="D53:F53"/>
    <mergeCell ref="I53:K53"/>
    <mergeCell ref="B50:C50"/>
    <mergeCell ref="D50:F50"/>
    <mergeCell ref="I50:K50"/>
    <mergeCell ref="B51:C51"/>
    <mergeCell ref="D51:F51"/>
    <mergeCell ref="I51:K51"/>
    <mergeCell ref="B48:C48"/>
    <mergeCell ref="D48:F48"/>
    <mergeCell ref="I48:K48"/>
    <mergeCell ref="B49:C49"/>
    <mergeCell ref="D49:F49"/>
    <mergeCell ref="I49:K49"/>
    <mergeCell ref="B46:C46"/>
    <mergeCell ref="D46:F46"/>
    <mergeCell ref="I46:K46"/>
    <mergeCell ref="B47:C47"/>
    <mergeCell ref="D47:F47"/>
    <mergeCell ref="I47:K47"/>
    <mergeCell ref="B44:C44"/>
    <mergeCell ref="D44:F44"/>
    <mergeCell ref="I44:K44"/>
    <mergeCell ref="B45:C45"/>
    <mergeCell ref="D45:F45"/>
    <mergeCell ref="I45:K45"/>
    <mergeCell ref="B42:C42"/>
    <mergeCell ref="D42:F42"/>
    <mergeCell ref="I42:K42"/>
    <mergeCell ref="B43:C43"/>
    <mergeCell ref="D43:F43"/>
    <mergeCell ref="I43:K43"/>
    <mergeCell ref="B40:C40"/>
    <mergeCell ref="D40:F40"/>
    <mergeCell ref="I40:K40"/>
    <mergeCell ref="B41:C41"/>
    <mergeCell ref="D41:F41"/>
    <mergeCell ref="I41:K41"/>
    <mergeCell ref="B38:C38"/>
    <mergeCell ref="D38:F38"/>
    <mergeCell ref="I38:K38"/>
    <mergeCell ref="B39:C39"/>
    <mergeCell ref="D39:F39"/>
    <mergeCell ref="I39:K39"/>
    <mergeCell ref="B36:C36"/>
    <mergeCell ref="D36:F36"/>
    <mergeCell ref="I36:K36"/>
    <mergeCell ref="B37:C37"/>
    <mergeCell ref="D37:F37"/>
    <mergeCell ref="I37:K37"/>
    <mergeCell ref="B34:C34"/>
    <mergeCell ref="D34:F34"/>
    <mergeCell ref="I34:K34"/>
    <mergeCell ref="B35:C35"/>
    <mergeCell ref="D35:F35"/>
    <mergeCell ref="I35:K35"/>
    <mergeCell ref="B32:C32"/>
    <mergeCell ref="D32:F32"/>
    <mergeCell ref="I32:K32"/>
    <mergeCell ref="B33:C33"/>
    <mergeCell ref="D33:F33"/>
    <mergeCell ref="I33:K33"/>
    <mergeCell ref="B30:C30"/>
    <mergeCell ref="D30:F30"/>
    <mergeCell ref="I30:K30"/>
    <mergeCell ref="B31:C31"/>
    <mergeCell ref="D31:F31"/>
    <mergeCell ref="I31:K31"/>
    <mergeCell ref="B28:C28"/>
    <mergeCell ref="D28:F28"/>
    <mergeCell ref="I28:K28"/>
    <mergeCell ref="B29:C29"/>
    <mergeCell ref="D29:F29"/>
    <mergeCell ref="I29:K29"/>
    <mergeCell ref="B26:C26"/>
    <mergeCell ref="D26:F26"/>
    <mergeCell ref="I26:K26"/>
    <mergeCell ref="B27:C27"/>
    <mergeCell ref="D27:F27"/>
    <mergeCell ref="I27:K27"/>
    <mergeCell ref="B24:C24"/>
    <mergeCell ref="D24:F24"/>
    <mergeCell ref="I24:K24"/>
    <mergeCell ref="B25:C25"/>
    <mergeCell ref="D25:F25"/>
    <mergeCell ref="I25:K25"/>
    <mergeCell ref="B22:C22"/>
    <mergeCell ref="D22:F22"/>
    <mergeCell ref="I22:K22"/>
    <mergeCell ref="B23:C23"/>
    <mergeCell ref="D23:F23"/>
    <mergeCell ref="I23:K23"/>
    <mergeCell ref="B20:C20"/>
    <mergeCell ref="D20:F20"/>
    <mergeCell ref="I20:K20"/>
    <mergeCell ref="B21:C21"/>
    <mergeCell ref="D21:F21"/>
    <mergeCell ref="I21:K21"/>
    <mergeCell ref="B18:C18"/>
    <mergeCell ref="D18:F18"/>
    <mergeCell ref="I18:K18"/>
    <mergeCell ref="B19:C19"/>
    <mergeCell ref="D19:F19"/>
    <mergeCell ref="I19:K19"/>
    <mergeCell ref="B16:C16"/>
    <mergeCell ref="D16:F16"/>
    <mergeCell ref="I16:K16"/>
    <mergeCell ref="B17:C17"/>
    <mergeCell ref="D17:F17"/>
    <mergeCell ref="I17:K17"/>
    <mergeCell ref="B14:C14"/>
    <mergeCell ref="D14:F14"/>
    <mergeCell ref="I14:K14"/>
    <mergeCell ref="B15:C15"/>
    <mergeCell ref="D15:F15"/>
    <mergeCell ref="I15:K15"/>
    <mergeCell ref="B12:C12"/>
    <mergeCell ref="D12:F12"/>
    <mergeCell ref="I12:K12"/>
    <mergeCell ref="B13:C13"/>
    <mergeCell ref="D13:F13"/>
    <mergeCell ref="I13:K13"/>
    <mergeCell ref="B10:C10"/>
    <mergeCell ref="D10:F10"/>
    <mergeCell ref="I10:K10"/>
    <mergeCell ref="B11:C11"/>
    <mergeCell ref="D11:F11"/>
    <mergeCell ref="I11:K11"/>
    <mergeCell ref="B8:C8"/>
    <mergeCell ref="D8:F8"/>
    <mergeCell ref="I8:K8"/>
    <mergeCell ref="B9:C9"/>
    <mergeCell ref="D9:F9"/>
    <mergeCell ref="I9:K9"/>
    <mergeCell ref="B7:C7"/>
    <mergeCell ref="D7:F7"/>
    <mergeCell ref="I7:K7"/>
    <mergeCell ref="B4:C4"/>
    <mergeCell ref="D4:F4"/>
    <mergeCell ref="I4:K4"/>
    <mergeCell ref="B5:C5"/>
    <mergeCell ref="D5:F5"/>
    <mergeCell ref="I5:K5"/>
    <mergeCell ref="B2:C2"/>
    <mergeCell ref="D2:F2"/>
    <mergeCell ref="G2:H2"/>
    <mergeCell ref="I2:K2"/>
    <mergeCell ref="B3:C3"/>
    <mergeCell ref="D3:F3"/>
    <mergeCell ref="G3:H3"/>
    <mergeCell ref="I3:K3"/>
    <mergeCell ref="B6:C6"/>
    <mergeCell ref="D6:F6"/>
    <mergeCell ref="I6:K6"/>
  </mergeCells>
  <conditionalFormatting sqref="B5:K254">
    <cfRule type="expression" dxfId="4" priority="1">
      <formula>$H5:$H254="Transfer"</formula>
    </cfRule>
    <cfRule type="expression" dxfId="3" priority="2">
      <formula>$H5:$H254="Interest"</formula>
    </cfRule>
    <cfRule type="expression" dxfId="2" priority="3">
      <formula>$I5:$K254="Return"</formula>
    </cfRule>
    <cfRule type="expression" dxfId="1" priority="4">
      <formula>$H5:$H254="Hold"</formula>
    </cfRule>
    <cfRule type="expression" dxfId="0" priority="5">
      <formula>$H5:$H254="Load"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CHART</vt:lpstr>
      <vt:lpstr>Allowance</vt:lpstr>
      <vt:lpstr>Accounts</vt:lpstr>
      <vt:lpstr>IponBox</vt:lpstr>
      <vt:lpstr>Savings</vt:lpstr>
      <vt:lpstr>Taxes</vt:lpstr>
      <vt:lpstr>Stipend</vt:lpstr>
      <vt:lpstr>GCash</vt:lpstr>
      <vt:lpstr>Maya</vt:lpstr>
      <vt:lpstr>CIMB</vt:lpstr>
      <vt:lpstr>Accounts!B</vt:lpstr>
      <vt:lpstr>Taxes!B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Rysa Abadier</dc:creator>
  <cp:lastModifiedBy>Rysa Abadier</cp:lastModifiedBy>
  <dcterms:created xsi:type="dcterms:W3CDTF">2025-12-10T08:38:32Z</dcterms:created>
  <dcterms:modified xsi:type="dcterms:W3CDTF">2026-02-05T03:02:40Z</dcterms:modified>
</cp:coreProperties>
</file>